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docProps/app.xml" ContentType="application/vnd.openxmlformats-officedocument.extended-properties+xml"/>
  <Override PartName="/docProps/core.xml" ContentType="application/vnd.openxmlformats-package.core-propertie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sharedStrings.xml" ContentType="application/vnd.openxmlformats-officedocument.spreadsheetml.sharedString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240" yWindow="15" windowWidth="16095" windowHeight="9660"/>
  </bookViews>
  <sheets>
    <sheet name="Mock UI" sheetId="1" r:id="rId1"/>
    <sheet name="Engine" sheetId="2" state="hidden" r:id="rId2"/>
    <sheet name="Assumptions" sheetId="3" state="hidden" r:id="rId3"/>
    <sheet name="Clinical Review" sheetId="4" r:id="rId4"/>
  </sheets>
  <definedNames>
    <definedName name="LungSubtypeValues">Assumptions!$T$8:$T$10</definedName>
    <definedName name="NonLungSubtypeValues">Assumptions!$U$8:$U$8</definedName>
  </definedNames>
  <calcPr calcId="124519" fullCalcOnLoad="1"/>
</workbook>
</file>

<file path=xl/sharedStrings.xml><?xml version="1.0" encoding="utf-8"?>
<sst xmlns="http://schemas.openxmlformats.org/spreadsheetml/2006/main" count="172" uniqueCount="139">
  <si>
    <t>Synthetic cachexia simulation mock UI</t>
  </si>
  <si>
    <t>Enter a synthetic profile, use a sample button, and review separate three- and six-month illustrative outputs.</t>
  </si>
  <si>
    <t>NOT FOR CLINICAL USE. All patients and outputs are synthetic. Category relationships are simulation assumptions, not clinically validated effects. Do not use for diagnosis, prognosis, treatment, patient care, or medical decisions.</t>
  </si>
  <si>
    <t>Eligibility and inclusion criteria are not yet defined. Cancer-type labels are synthetic stratifiers for an adult solid-tumour POC pending clinical review.</t>
  </si>
  <si>
    <t>1  Synthetic patient inputs</t>
  </si>
  <si>
    <t>Prediction date</t>
  </si>
  <si>
    <t>Required date. Records after this date cannot be predictors.</t>
  </si>
  <si>
    <t>Age (years)</t>
  </si>
  <si>
    <t>Required whole number: 18 to 95 years.</t>
  </si>
  <si>
    <t>Sex (descriptive)</t>
  </si>
  <si>
    <t>female</t>
  </si>
  <si>
    <t>Descriptive only; unused in the current simulation category.</t>
  </si>
  <si>
    <t>Cancer type (synthetic stratifier)</t>
  </si>
  <si>
    <t>lung</t>
  </si>
  <si>
    <t>Synthetic stratifier pending clinical review.</t>
  </si>
  <si>
    <t>Lung subtype (descriptive)</t>
  </si>
  <si>
    <t>NSCLC</t>
  </si>
  <si>
    <t>For lung only: descriptive and unused in the category.</t>
  </si>
  <si>
    <t>Cancer stage</t>
  </si>
  <si>
    <t>III</t>
  </si>
  <si>
    <t>Valid: I, II, III, IV or unknown.</t>
  </si>
  <si>
    <t>Height (cm; optional)</t>
  </si>
  <si>
    <t>Optional; required for BMI and categories. Valid: 140 to 200 cm.</t>
  </si>
  <si>
    <t>Baseline ECOG</t>
  </si>
  <si>
    <t>2</t>
  </si>
  <si>
    <t>Valid: 0, 1, 2, 3, 4 or unknown.</t>
  </si>
  <si>
    <t>Reduced appetite</t>
  </si>
  <si>
    <t>no</t>
  </si>
  <si>
    <t>Valid: yes, no or unknown/not documented.</t>
  </si>
  <si>
    <t>Sarcopenia (future-use)</t>
  </si>
  <si>
    <t>unknown</t>
  </si>
  <si>
    <t>Future-use, pending definition, never inferred, and unused in v1.</t>
  </si>
  <si>
    <t>2  Dated weight history</t>
  </si>
  <si>
    <t>Measurement date</t>
  </si>
  <si>
    <t>Weight (kg)</t>
  </si>
  <si>
    <t>3  Automatic illustrative outputs</t>
  </si>
  <si>
    <t>Baseline/current weight</t>
  </si>
  <si>
    <t>BMI</t>
  </si>
  <si>
    <t>Weight loss</t>
  </si>
  <si>
    <t>Interval</t>
  </si>
  <si>
    <t>Weight-loss rate</t>
  </si>
  <si>
    <t>Trajectory</t>
  </si>
  <si>
    <t>Current cachexia criteria status</t>
  </si>
  <si>
    <t>Current provisional pre-cachexia candidate</t>
  </si>
  <si>
    <t>3-month illustrative simulation category</t>
  </si>
  <si>
    <t>6-month illustrative simulation category</t>
  </si>
  <si>
    <t>Basis / status</t>
  </si>
  <si>
    <t>Target outcome is not defined pending clinical review.</t>
  </si>
  <si>
    <t>Rules shown in plain language
Baseline-derived cachexia criteria status: &gt;5% retrospective weight loss, or &gt;2% loss with BMI &lt;20 kg/m². For loss &gt;2% and &lt;=5% with BMI &gt;=20, status is unknown because the sarcopenia branch is disabled pending a clinical definition.
Provisional pre-cachexia candidate: cachexia criteria not met, &gt;1% and &lt;=5% loss, and baseline reduced appetite=yes. The &gt;1% lower bound has no consensus basis and is editable; &lt;=5% is consensus-aligned. Binary appetite is a POC simplification.</t>
  </si>
  <si>
    <t>Buttons require macros to be enabled. Inputs, dropdowns, formulas, and live outputs still work when macros are disabled.</t>
  </si>
  <si>
    <t>Baseline weight date</t>
  </si>
  <si>
    <t>Baseline/current weight (kg)</t>
  </si>
  <si>
    <t>Prior comparison date</t>
  </si>
  <si>
    <t>Prior comparison weight (kg)</t>
  </si>
  <si>
    <t>BMI (kg/m²)</t>
  </si>
  <si>
    <t>Percentage weight loss (+ = loss)</t>
  </si>
  <si>
    <t>Interval (days)</t>
  </si>
  <si>
    <t>Weight-loss rate (kg/month)</t>
  </si>
  <si>
    <t>Rate (percentage points/month)</t>
  </si>
  <si>
    <t>Illustrative simulation horizon</t>
  </si>
  <si>
    <t>3 months</t>
  </si>
  <si>
    <t>6 months</t>
  </si>
  <si>
    <t>Output type</t>
  </si>
  <si>
    <t>Category</t>
  </si>
  <si>
    <t>Explanation</t>
  </si>
  <si>
    <t>illustrative simulation category</t>
  </si>
  <si>
    <t>DaysPerMonth</t>
  </si>
  <si>
    <t>TrajectoryEpsilon</t>
  </si>
  <si>
    <t>FearonPrimary</t>
  </si>
  <si>
    <t>FearonConditional</t>
  </si>
  <si>
    <t>FearonBMI</t>
  </si>
  <si>
    <t>PreLower</t>
  </si>
  <si>
    <t>PreUpper</t>
  </si>
  <si>
    <t>AgeThreshold</t>
  </si>
  <si>
    <t>CategoryLowUpper</t>
  </si>
  <si>
    <t>CategoryHighLower</t>
  </si>
  <si>
    <t>WeightMin</t>
  </si>
  <si>
    <t>WeightMax</t>
  </si>
  <si>
    <t>Category3Intercept</t>
  </si>
  <si>
    <t>Category3Age</t>
  </si>
  <si>
    <t>Category3Loss</t>
  </si>
  <si>
    <t>Category3BMI</t>
  </si>
  <si>
    <t>Category3Cancer</t>
  </si>
  <si>
    <t>Category6Intercept</t>
  </si>
  <si>
    <t>Category6Age</t>
  </si>
  <si>
    <t>Category6Loss</t>
  </si>
  <si>
    <t>Category6BMI</t>
  </si>
  <si>
    <t>Category6Cancer</t>
  </si>
  <si>
    <t>colorectal</t>
  </si>
  <si>
    <t>oesophageal</t>
  </si>
  <si>
    <t>gastric</t>
  </si>
  <si>
    <t>pancreatic</t>
  </si>
  <si>
    <t>hepatobiliary</t>
  </si>
  <si>
    <t>head and neck</t>
  </si>
  <si>
    <t>breast</t>
  </si>
  <si>
    <t>prostate</t>
  </si>
  <si>
    <t>other solid tumour</t>
  </si>
  <si>
    <t>I</t>
  </si>
  <si>
    <t>II</t>
  </si>
  <si>
    <t>IV</t>
  </si>
  <si>
    <t>0</t>
  </si>
  <si>
    <t>1</t>
  </si>
  <si>
    <t>3</t>
  </si>
  <si>
    <t>4</t>
  </si>
  <si>
    <t>yes</t>
  </si>
  <si>
    <t>SCLC</t>
  </si>
  <si>
    <t>not applicable</t>
  </si>
  <si>
    <t>Clinical review decisions</t>
  </si>
  <si>
    <t>No approval has been received. Record decisions explicitly; blank is not approval.</t>
  </si>
  <si>
    <t>NOT FOR CLINICAL USE. Review of this workbook does not constitute clinical validation or approval.</t>
  </si>
  <si>
    <t>ID</t>
  </si>
  <si>
    <t>Question</t>
  </si>
  <si>
    <t>Owner</t>
  </si>
  <si>
    <t>Status</t>
  </si>
  <si>
    <t>Decision</t>
  </si>
  <si>
    <t>Rationale</t>
  </si>
  <si>
    <t>Effective date</t>
  </si>
  <si>
    <t>CLIN-001</t>
  </si>
  <si>
    <t>Confirm/revise predictor ranges and distributions</t>
  </si>
  <si>
    <t>Clinical review</t>
  </si>
  <si>
    <t>pending</t>
  </si>
  <si>
    <t>CLIN-002</t>
  </si>
  <si>
    <t>Confirm stage/ECOG/appetite simulation relationships</t>
  </si>
  <si>
    <t>CLIN-003</t>
  </si>
  <si>
    <t>Approve/reject/revise provisional pre-cachexia rule</t>
  </si>
  <si>
    <t>CLIN-004</t>
  </si>
  <si>
    <t>Confirm Fearon implementation and unknown behavior</t>
  </si>
  <si>
    <t>CLIN-005</t>
  </si>
  <si>
    <t>Confirm outcome selection and inclusive boundaries</t>
  </si>
  <si>
    <t>CLIN-006</t>
  </si>
  <si>
    <t>Confirm sarcopenia representation</t>
  </si>
  <si>
    <t>CLIN-007</t>
  </si>
  <si>
    <t>Define eligibility and inclusion criteria</t>
  </si>
  <si>
    <t>CLIN-008</t>
  </si>
  <si>
    <t>Confirm dated follow-up appetite evidence and binary simplification</t>
  </si>
  <si>
    <t>CLIN-009</t>
  </si>
  <si>
    <t>Define the target outcome or estimand for illustrative categories</t>
  </si>
  <si>
    <t>UX-001</t>
  </si>
  <si>
    <t>Identify clinically misleading wording or presentation</t>
  </si>
</sst>
</file>

<file path=xl/styles.xml><?xml version="1.0" encoding="utf-8"?>
<styleSheet xmlns="http://schemas.openxmlformats.org/spreadsheetml/2006/main">
  <numFmts count="6">
    <numFmt numFmtId="164" formatCode="yyyy-mm-dd"/>
    <numFmt numFmtId="165" formatCode="0.00 &quot;kg&quot;"/>
    <numFmt numFmtId="166" formatCode="0.00"/>
    <numFmt numFmtId="167" formatCode="0.00%"/>
    <numFmt numFmtId="168" formatCode="0 &quot;days&quot;"/>
    <numFmt numFmtId="169" formatCode="0.00 &quot;kg/month&quot;"/>
  </numFmts>
  <fonts count="11">
    <font>
      <sz val="11"/>
      <color theme="1"/>
      <name val="Calibri"/>
      <family val="2"/>
      <scheme val="minor"/>
    </font>
    <font>
      <b/>
      <sz val="20"/>
      <color rgb="FFFFFFFF"/>
      <name val="Calibri"/>
      <family val="2"/>
      <scheme val="minor"/>
    </font>
    <font>
      <i/>
      <sz val="11"/>
      <color rgb="FF44545B"/>
      <name val="Calibri"/>
      <family val="2"/>
      <scheme val="minor"/>
    </font>
    <font>
      <b/>
      <sz val="11"/>
      <color rgb="FF7A2F12"/>
      <name val="Calibri"/>
      <family val="2"/>
      <scheme val="minor"/>
    </font>
    <font>
      <sz val="11"/>
      <color rgb="FF44545B"/>
      <name val="Calibri"/>
      <family val="2"/>
      <scheme val="minor"/>
    </font>
    <font>
      <b/>
      <sz val="13"/>
      <color rgb="FFFFFFFF"/>
      <name val="Calibri"/>
      <family val="2"/>
      <scheme val="minor"/>
    </font>
    <font>
      <b/>
      <sz val="11"/>
      <color rgb="FF17324D"/>
      <name val="Calibri"/>
      <family val="2"/>
      <scheme val="minor"/>
    </font>
    <font>
      <sz val="9"/>
      <color rgb="FF44545B"/>
      <name val="Calibri"/>
      <family val="2"/>
      <scheme val="minor"/>
    </font>
    <font>
      <b/>
      <sz val="11"/>
      <color theme="1"/>
      <name val="Calibri"/>
      <family val="2"/>
      <scheme val="minor"/>
    </font>
    <font>
      <b/>
      <sz val="11"/>
      <color rgb="FFFFFFFF"/>
      <name val="Calibri"/>
      <family val="2"/>
      <scheme val="minor"/>
    </font>
    <font>
      <b/>
      <sz val="20"/>
      <color rgb="FF006D71"/>
      <name val="Calibri"/>
      <family val="2"/>
      <scheme val="minor"/>
    </font>
  </fonts>
  <fills count="9">
    <fill>
      <patternFill patternType="none"/>
    </fill>
    <fill>
      <patternFill patternType="gray125"/>
    </fill>
    <fill>
      <patternFill patternType="solid">
        <fgColor rgb="FF17324D"/>
        <bgColor indexed="64"/>
      </patternFill>
    </fill>
    <fill>
      <patternFill patternType="solid">
        <fgColor rgb="FFFFF1E9"/>
        <bgColor indexed="64"/>
      </patternFill>
    </fill>
    <fill>
      <patternFill patternType="solid">
        <fgColor rgb="FFFFFFFF"/>
        <bgColor indexed="64"/>
      </patternFill>
    </fill>
    <fill>
      <patternFill patternType="solid">
        <fgColor rgb="FF006D71"/>
        <bgColor indexed="64"/>
      </patternFill>
    </fill>
    <fill>
      <patternFill patternType="solid">
        <fgColor rgb="FFD9EAF7"/>
        <bgColor indexed="64"/>
      </patternFill>
    </fill>
    <fill>
      <patternFill patternType="solid">
        <fgColor rgb="FFE7ECEE"/>
        <bgColor indexed="64"/>
      </patternFill>
    </fill>
    <fill>
      <patternFill patternType="solid">
        <fgColor rgb="FFDDEFEF"/>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4">
    <xf numFmtId="0" fontId="0" fillId="0" borderId="0" xfId="0"/>
    <xf numFmtId="0" fontId="1" fillId="2" borderId="0" xfId="0" applyFont="1" applyFill="1" applyAlignment="1">
      <alignment horizontal="left" vertical="center"/>
    </xf>
    <xf numFmtId="0" fontId="2" fillId="0" borderId="0" xfId="0" applyFont="1" applyAlignment="1">
      <alignment vertical="center" wrapText="1"/>
    </xf>
    <xf numFmtId="0" fontId="3" fillId="3" borderId="1" xfId="0" applyFont="1" applyFill="1" applyBorder="1" applyAlignment="1">
      <alignment vertical="center" wrapText="1"/>
    </xf>
    <xf numFmtId="0" fontId="4" fillId="4" borderId="1" xfId="0" applyFont="1" applyFill="1" applyBorder="1" applyAlignment="1">
      <alignment vertical="center" wrapText="1"/>
    </xf>
    <xf numFmtId="0" fontId="5" fillId="5" borderId="0" xfId="0" applyFont="1" applyFill="1" applyAlignment="1">
      <alignment horizontal="left" vertical="center"/>
    </xf>
    <xf numFmtId="0" fontId="6" fillId="0" borderId="0" xfId="0" applyFont="1" applyAlignment="1">
      <alignment vertical="center"/>
    </xf>
    <xf numFmtId="164" fontId="0" fillId="6" borderId="1" xfId="0" applyNumberFormat="1" applyFill="1" applyBorder="1" applyAlignment="1">
      <alignment vertical="center"/>
    </xf>
    <xf numFmtId="0" fontId="7" fillId="7" borderId="1" xfId="0" applyFont="1" applyFill="1" applyBorder="1" applyAlignment="1">
      <alignment vertical="center" wrapText="1"/>
    </xf>
    <xf numFmtId="165" fontId="8" fillId="8" borderId="1" xfId="0" applyNumberFormat="1" applyFont="1" applyFill="1" applyBorder="1" applyAlignment="1">
      <alignment horizontal="center"/>
    </xf>
    <xf numFmtId="0" fontId="0" fillId="6" borderId="1" xfId="0" applyFill="1" applyBorder="1" applyAlignment="1">
      <alignment vertical="center"/>
    </xf>
    <xf numFmtId="166" fontId="8" fillId="8" borderId="1" xfId="0" applyNumberFormat="1" applyFont="1" applyFill="1" applyBorder="1" applyAlignment="1">
      <alignment horizontal="center"/>
    </xf>
    <xf numFmtId="167" fontId="8" fillId="8" borderId="1" xfId="0" applyNumberFormat="1" applyFont="1" applyFill="1" applyBorder="1" applyAlignment="1">
      <alignment horizontal="center"/>
    </xf>
    <xf numFmtId="168" fontId="8" fillId="8" borderId="1" xfId="0" applyNumberFormat="1" applyFont="1" applyFill="1" applyBorder="1" applyAlignment="1">
      <alignment horizontal="center"/>
    </xf>
    <xf numFmtId="169" fontId="8" fillId="8" borderId="1" xfId="0" applyNumberFormat="1" applyFont="1" applyFill="1" applyBorder="1" applyAlignment="1">
      <alignment horizontal="center"/>
    </xf>
    <xf numFmtId="0" fontId="8" fillId="8" borderId="1" xfId="0" applyFont="1" applyFill="1" applyBorder="1" applyAlignment="1">
      <alignment horizontal="center" vertical="center"/>
    </xf>
    <xf numFmtId="0" fontId="9" fillId="2" borderId="0" xfId="0" applyFont="1" applyFill="1" applyAlignment="1">
      <alignment horizontal="center"/>
    </xf>
    <xf numFmtId="0" fontId="10" fillId="8" borderId="1" xfId="0" applyFont="1" applyFill="1" applyBorder="1" applyAlignment="1">
      <alignment horizontal="center" vertical="center"/>
    </xf>
    <xf numFmtId="0" fontId="9" fillId="5" borderId="1" xfId="0" applyFont="1" applyFill="1" applyBorder="1" applyAlignment="1">
      <alignment horizontal="center"/>
    </xf>
    <xf numFmtId="165" fontId="0" fillId="6" borderId="1" xfId="0" applyNumberFormat="1" applyFill="1" applyBorder="1" applyAlignment="1">
      <alignment vertical="center"/>
    </xf>
    <xf numFmtId="0" fontId="0" fillId="7" borderId="1" xfId="0" applyFill="1" applyBorder="1" applyAlignment="1">
      <alignment vertical="top" wrapText="1"/>
    </xf>
    <xf numFmtId="0" fontId="0" fillId="3" borderId="1" xfId="0" applyFill="1" applyBorder="1" applyAlignment="1">
      <alignment vertical="top" wrapText="1"/>
    </xf>
    <xf numFmtId="0" fontId="2" fillId="7" borderId="1" xfId="0" applyFont="1" applyFill="1" applyBorder="1" applyAlignment="1">
      <alignment vertical="center" wrapText="1"/>
    </xf>
    <xf numFmtId="0" fontId="0" fillId="6" borderId="1" xfId="0" applyFill="1" applyBorder="1" applyAlignment="1">
      <alignment vertical="top" wrapText="1"/>
    </xf>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theme" Target="theme/theme1.xml"/><Relationship Id="rId6" Type="http://schemas.openxmlformats.org/officeDocument/2006/relationships/styles" Target="styles.xml"/><Relationship Id="rId7" Type="http://schemas.openxmlformats.org/officeDocument/2006/relationships/sharedStrings" Target="sharedStrings.xml"/><Relationship Id="rId8"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sheetPr codeName="Sheet1">
    <tabColor rgb="FF006D71"/>
  </sheetPr>
  <dimension ref="A1:N41"/>
  <sheetViews>
    <sheetView showGridLines="0" tabSelected="1" workbookViewId="0">
      <pane ySplit="7" topLeftCell="A8" activePane="bottomLeft" state="frozen"/>
      <selection pane="bottomLeft"/>
    </sheetView>
  </sheetViews>
  <sheetFormatPr defaultRowHeight="15"/>
  <cols>
    <col min="1" max="1" width="3.7109375" customWidth="1"/>
    <col min="2" max="2" width="27.7109375" customWidth="1"/>
    <col min="3" max="3" width="20.7109375" customWidth="1"/>
    <col min="4" max="6" width="10.7109375" customWidth="1"/>
    <col min="7" max="7" width="25.7109375" customWidth="1"/>
    <col min="8" max="9" width="16.7109375" customWidth="1"/>
    <col min="10" max="10" width="3.7109375" customWidth="1"/>
    <col min="11" max="12" width="17.7109375" customWidth="1"/>
    <col min="13" max="14" width="0" hidden="1" customWidth="1"/>
  </cols>
  <sheetData>
    <row r="1" spans="1:12">
      <c r="A1" s="1" t="s">
        <v>0</v>
      </c>
      <c r="B1" s="1"/>
      <c r="C1" s="1"/>
      <c r="D1" s="1"/>
      <c r="E1" s="1"/>
      <c r="F1" s="1"/>
      <c r="G1" s="1"/>
      <c r="H1" s="1"/>
      <c r="I1" s="1"/>
      <c r="J1" s="1"/>
      <c r="K1" s="1"/>
      <c r="L1" s="1"/>
    </row>
    <row r="2" spans="1:12">
      <c r="A2" s="2" t="s">
        <v>1</v>
      </c>
      <c r="B2" s="2"/>
      <c r="C2" s="2"/>
      <c r="D2" s="2"/>
      <c r="E2" s="2"/>
      <c r="F2" s="2"/>
      <c r="G2" s="2"/>
      <c r="H2" s="2"/>
      <c r="I2" s="2"/>
      <c r="J2" s="2"/>
      <c r="K2" s="2"/>
      <c r="L2" s="2"/>
    </row>
    <row r="3" spans="1:12">
      <c r="A3" s="3" t="s">
        <v>2</v>
      </c>
      <c r="B3" s="3"/>
      <c r="C3" s="3"/>
      <c r="D3" s="3"/>
      <c r="E3" s="3"/>
      <c r="F3" s="3"/>
      <c r="G3" s="3"/>
      <c r="H3" s="3"/>
      <c r="I3" s="3"/>
      <c r="J3" s="3"/>
      <c r="K3" s="3"/>
      <c r="L3" s="3"/>
    </row>
    <row r="4" spans="1:12">
      <c r="A4" s="3"/>
      <c r="B4" s="3"/>
      <c r="C4" s="3"/>
      <c r="D4" s="3"/>
      <c r="E4" s="3"/>
      <c r="F4" s="3"/>
      <c r="G4" s="3"/>
      <c r="H4" s="3"/>
      <c r="I4" s="3"/>
      <c r="J4" s="3"/>
      <c r="K4" s="3"/>
      <c r="L4" s="3"/>
    </row>
    <row r="5" spans="1:12">
      <c r="A5" s="3"/>
      <c r="B5" s="3"/>
      <c r="C5" s="3"/>
      <c r="D5" s="3"/>
      <c r="E5" s="3"/>
      <c r="F5" s="3"/>
      <c r="G5" s="3"/>
      <c r="H5" s="3"/>
      <c r="I5" s="3"/>
      <c r="J5" s="3"/>
      <c r="K5" s="3"/>
      <c r="L5" s="3"/>
    </row>
    <row r="6" spans="1:12">
      <c r="A6" s="4" t="s">
        <v>3</v>
      </c>
      <c r="B6" s="4"/>
      <c r="C6" s="4"/>
      <c r="D6" s="4"/>
      <c r="E6" s="4"/>
      <c r="F6" s="4"/>
      <c r="G6" s="4"/>
      <c r="H6" s="4"/>
      <c r="I6" s="4"/>
      <c r="J6" s="4"/>
      <c r="K6" s="4"/>
      <c r="L6" s="4"/>
    </row>
    <row r="7" spans="1:12">
      <c r="A7" s="5" t="s">
        <v>4</v>
      </c>
      <c r="B7" s="5"/>
      <c r="C7" s="5"/>
      <c r="G7" s="5" t="s">
        <v>35</v>
      </c>
      <c r="H7" s="5"/>
      <c r="I7" s="5"/>
      <c r="J7" s="5"/>
      <c r="K7" s="5"/>
      <c r="L7" s="5"/>
    </row>
    <row r="9" spans="1:12" ht="30" customHeight="1">
      <c r="B9" s="6" t="s">
        <v>5</v>
      </c>
      <c r="C9" s="7">
        <v>46053</v>
      </c>
      <c r="D9" s="8" t="s">
        <v>6</v>
      </c>
      <c r="E9" s="8"/>
      <c r="F9" s="8"/>
      <c r="G9" s="6" t="s">
        <v>36</v>
      </c>
      <c r="H9" s="9">
        <f>Engine!B9</f>
        <v>0</v>
      </c>
      <c r="I9" s="9"/>
    </row>
    <row r="10" spans="1:12" ht="30" customHeight="1">
      <c r="B10" s="6" t="s">
        <v>7</v>
      </c>
      <c r="C10" s="10">
        <v>65</v>
      </c>
      <c r="D10" s="8" t="s">
        <v>8</v>
      </c>
      <c r="E10" s="8"/>
      <c r="F10" s="8"/>
      <c r="G10" s="6" t="s">
        <v>37</v>
      </c>
      <c r="H10" s="11">
        <f>Engine!B12</f>
        <v>0</v>
      </c>
      <c r="I10" s="11"/>
    </row>
    <row r="11" spans="1:12" ht="30" customHeight="1">
      <c r="B11" s="6" t="s">
        <v>9</v>
      </c>
      <c r="C11" s="10" t="s">
        <v>10</v>
      </c>
      <c r="D11" s="8" t="s">
        <v>11</v>
      </c>
      <c r="E11" s="8"/>
      <c r="F11" s="8"/>
      <c r="G11" s="6" t="s">
        <v>38</v>
      </c>
      <c r="H11" s="12">
        <f>Engine!B13/100</f>
        <v>0</v>
      </c>
      <c r="I11" s="12"/>
    </row>
    <row r="12" spans="1:12" ht="30" customHeight="1">
      <c r="B12" s="6" t="s">
        <v>12</v>
      </c>
      <c r="C12" s="10" t="s">
        <v>13</v>
      </c>
      <c r="D12" s="8" t="s">
        <v>14</v>
      </c>
      <c r="E12" s="8"/>
      <c r="F12" s="8"/>
      <c r="G12" s="6" t="s">
        <v>39</v>
      </c>
      <c r="H12" s="13">
        <f>Engine!B14</f>
        <v>0</v>
      </c>
      <c r="I12" s="13"/>
    </row>
    <row r="13" spans="1:12" ht="30" customHeight="1">
      <c r="B13" s="6" t="s">
        <v>15</v>
      </c>
      <c r="C13" s="10" t="s">
        <v>16</v>
      </c>
      <c r="D13" s="8" t="s">
        <v>17</v>
      </c>
      <c r="E13" s="8"/>
      <c r="F13" s="8"/>
      <c r="G13" s="6" t="s">
        <v>40</v>
      </c>
      <c r="H13" s="14">
        <f>Engine!B15</f>
        <v>0</v>
      </c>
      <c r="I13" s="14"/>
    </row>
    <row r="14" spans="1:12" ht="30" customHeight="1">
      <c r="B14" s="6" t="s">
        <v>18</v>
      </c>
      <c r="C14" s="10" t="s">
        <v>19</v>
      </c>
      <c r="D14" s="8" t="s">
        <v>20</v>
      </c>
      <c r="E14" s="8"/>
      <c r="F14" s="8"/>
      <c r="G14" s="6" t="s">
        <v>41</v>
      </c>
      <c r="H14" s="15">
        <f>Engine!B17</f>
        <v>0</v>
      </c>
      <c r="I14" s="15"/>
    </row>
    <row r="15" spans="1:12" ht="30" customHeight="1">
      <c r="B15" s="6" t="s">
        <v>21</v>
      </c>
      <c r="C15" s="10">
        <v>170</v>
      </c>
      <c r="D15" s="8" t="s">
        <v>22</v>
      </c>
      <c r="E15" s="8"/>
      <c r="F15" s="8"/>
    </row>
    <row r="16" spans="1:12" ht="30" customHeight="1">
      <c r="B16" s="6" t="s">
        <v>23</v>
      </c>
      <c r="C16" s="10" t="s">
        <v>24</v>
      </c>
      <c r="D16" s="8" t="s">
        <v>25</v>
      </c>
      <c r="E16" s="8"/>
      <c r="F16" s="8"/>
      <c r="G16" s="6" t="s">
        <v>42</v>
      </c>
      <c r="H16" s="15">
        <f>Engine!B19</f>
        <v>0</v>
      </c>
      <c r="I16" s="15"/>
    </row>
    <row r="17" spans="1:14" ht="30" customHeight="1">
      <c r="B17" s="6" t="s">
        <v>26</v>
      </c>
      <c r="C17" s="10" t="s">
        <v>27</v>
      </c>
      <c r="D17" s="8" t="s">
        <v>28</v>
      </c>
      <c r="E17" s="8"/>
      <c r="F17" s="8"/>
      <c r="G17" s="6" t="s">
        <v>43</v>
      </c>
      <c r="H17" s="15">
        <f>Engine!B20</f>
        <v>0</v>
      </c>
      <c r="I17" s="15"/>
    </row>
    <row r="18" spans="1:14" ht="30" customHeight="1">
      <c r="B18" s="6" t="s">
        <v>29</v>
      </c>
      <c r="C18" s="10" t="s">
        <v>30</v>
      </c>
      <c r="D18" s="8" t="s">
        <v>31</v>
      </c>
      <c r="E18" s="8"/>
      <c r="F18" s="8"/>
    </row>
    <row r="20" spans="1:14">
      <c r="G20" s="16" t="s">
        <v>44</v>
      </c>
      <c r="H20" s="16"/>
      <c r="I20" s="16"/>
      <c r="K20" s="16" t="s">
        <v>45</v>
      </c>
      <c r="L20" s="16"/>
    </row>
    <row r="21" spans="1:14">
      <c r="A21" s="5" t="s">
        <v>32</v>
      </c>
      <c r="B21" s="5"/>
      <c r="C21" s="5"/>
      <c r="G21" s="17">
        <f>Engine!B25</f>
        <v>0</v>
      </c>
      <c r="H21" s="17"/>
      <c r="I21" s="17"/>
      <c r="K21" s="17">
        <f>Engine!D25</f>
        <v>0</v>
      </c>
      <c r="L21" s="17"/>
    </row>
    <row r="22" spans="1:14">
      <c r="B22" s="18" t="s">
        <v>33</v>
      </c>
      <c r="C22" s="18" t="s">
        <v>34</v>
      </c>
      <c r="G22" s="17"/>
      <c r="H22" s="17"/>
      <c r="I22" s="17"/>
      <c r="K22" s="17"/>
      <c r="L22" s="17"/>
    </row>
    <row r="23" spans="1:14">
      <c r="G23" s="6" t="s">
        <v>46</v>
      </c>
      <c r="H23" s="15">
        <f>Engine!B26</f>
        <v>0</v>
      </c>
      <c r="I23" s="15"/>
      <c r="K23" s="6" t="s">
        <v>46</v>
      </c>
      <c r="L23" s="15">
        <f>Engine!D26</f>
        <v>0</v>
      </c>
    </row>
    <row r="24" spans="1:14">
      <c r="B24" s="7">
        <v>45869</v>
      </c>
      <c r="C24" s="19">
        <v>80</v>
      </c>
      <c r="G24" s="4" t="s">
        <v>47</v>
      </c>
      <c r="H24" s="4"/>
      <c r="I24" s="4"/>
      <c r="J24" s="4"/>
      <c r="K24" s="4"/>
      <c r="L24" s="4"/>
      <c r="M24">
        <f>IF(AND(ISNUMBER(B24),ISNUMBER(C24),B24&lt;=$C$9,C24&gt;=25,C24&lt;=160),B24,0)</f>
        <v>0</v>
      </c>
      <c r="N24">
        <f>IF(AND(ISNUMBER(B24),ISNUMBER(C24),Engine!$B$8&lt;&gt;"",B24&lt;Engine!$B$8,B24&gt;=EDATE(Engine!$B$8,-6),C24&gt;=25,C24&lt;=160),B24,DATE(9999,12,31))</f>
        <v>0</v>
      </c>
    </row>
    <row r="25" spans="1:14">
      <c r="B25" s="7">
        <v>46053</v>
      </c>
      <c r="C25" s="19">
        <v>76</v>
      </c>
      <c r="G25" s="20">
        <f>"3m: "&amp;Engine!B27&amp;CHAR(10)&amp;"6m: "&amp;Engine!D27</f>
        <v>0</v>
      </c>
      <c r="H25" s="20"/>
      <c r="I25" s="20"/>
      <c r="J25" s="20"/>
      <c r="K25" s="20"/>
      <c r="L25" s="20"/>
      <c r="M25">
        <f>IF(AND(ISNUMBER(B25),ISNUMBER(C25),B25&lt;=$C$9,C25&gt;=25,C25&lt;=160),B25,0)</f>
        <v>0</v>
      </c>
      <c r="N25">
        <f>IF(AND(ISNUMBER(B25),ISNUMBER(C25),Engine!$B$8&lt;&gt;"",B25&lt;Engine!$B$8,B25&gt;=EDATE(Engine!$B$8,-6),C25&gt;=25,C25&lt;=160),B25,DATE(9999,12,31))</f>
        <v>0</v>
      </c>
    </row>
    <row r="26" spans="1:14">
      <c r="B26" s="7"/>
      <c r="C26" s="19"/>
      <c r="G26" s="20"/>
      <c r="H26" s="20"/>
      <c r="I26" s="20"/>
      <c r="J26" s="20"/>
      <c r="K26" s="20"/>
      <c r="L26" s="20"/>
      <c r="M26">
        <f>IF(AND(ISNUMBER(B26),ISNUMBER(C26),B26&lt;=$C$9,C26&gt;=25,C26&lt;=160),B26,0)</f>
        <v>0</v>
      </c>
      <c r="N26">
        <f>IF(AND(ISNUMBER(B26),ISNUMBER(C26),Engine!$B$8&lt;&gt;"",B26&lt;Engine!$B$8,B26&gt;=EDATE(Engine!$B$8,-6),C26&gt;=25,C26&lt;=160),B26,DATE(9999,12,31))</f>
        <v>0</v>
      </c>
    </row>
    <row r="27" spans="1:14">
      <c r="B27" s="7"/>
      <c r="C27" s="19"/>
      <c r="G27" s="20"/>
      <c r="H27" s="20"/>
      <c r="I27" s="20"/>
      <c r="J27" s="20"/>
      <c r="K27" s="20"/>
      <c r="L27" s="20"/>
      <c r="M27">
        <f>IF(AND(ISNUMBER(B27),ISNUMBER(C27),B27&lt;=$C$9,C27&gt;=25,C27&lt;=160),B27,0)</f>
        <v>0</v>
      </c>
      <c r="N27">
        <f>IF(AND(ISNUMBER(B27),ISNUMBER(C27),Engine!$B$8&lt;&gt;"",B27&lt;Engine!$B$8,B27&gt;=EDATE(Engine!$B$8,-6),C27&gt;=25,C27&lt;=160),B27,DATE(9999,12,31))</f>
        <v>0</v>
      </c>
    </row>
    <row r="28" spans="1:14">
      <c r="B28" s="7"/>
      <c r="C28" s="19"/>
      <c r="M28">
        <f>IF(AND(ISNUMBER(B28),ISNUMBER(C28),B28&lt;=$C$9,C28&gt;=25,C28&lt;=160),B28,0)</f>
        <v>0</v>
      </c>
      <c r="N28">
        <f>IF(AND(ISNUMBER(B28),ISNUMBER(C28),Engine!$B$8&lt;&gt;"",B28&lt;Engine!$B$8,B28&gt;=EDATE(Engine!$B$8,-6),C28&gt;=25,C28&lt;=160),B28,DATE(9999,12,31))</f>
        <v>0</v>
      </c>
    </row>
    <row r="29" spans="1:14">
      <c r="B29" s="7"/>
      <c r="C29" s="19"/>
      <c r="G29" s="21" t="s">
        <v>48</v>
      </c>
      <c r="H29" s="21"/>
      <c r="I29" s="21"/>
      <c r="J29" s="21"/>
      <c r="K29" s="21"/>
      <c r="L29" s="21"/>
      <c r="M29">
        <f>IF(AND(ISNUMBER(B29),ISNUMBER(C29),B29&lt;=$C$9,C29&gt;=25,C29&lt;=160),B29,0)</f>
        <v>0</v>
      </c>
      <c r="N29">
        <f>IF(AND(ISNUMBER(B29),ISNUMBER(C29),Engine!$B$8&lt;&gt;"",B29&lt;Engine!$B$8,B29&gt;=EDATE(Engine!$B$8,-6),C29&gt;=25,C29&lt;=160),B29,DATE(9999,12,31))</f>
        <v>0</v>
      </c>
    </row>
    <row r="30" spans="1:14">
      <c r="B30" s="7"/>
      <c r="C30" s="19"/>
      <c r="G30" s="21"/>
      <c r="H30" s="21"/>
      <c r="I30" s="21"/>
      <c r="J30" s="21"/>
      <c r="K30" s="21"/>
      <c r="L30" s="21"/>
      <c r="M30">
        <f>IF(AND(ISNUMBER(B30),ISNUMBER(C30),B30&lt;=$C$9,C30&gt;=25,C30&lt;=160),B30,0)</f>
        <v>0</v>
      </c>
      <c r="N30">
        <f>IF(AND(ISNUMBER(B30),ISNUMBER(C30),Engine!$B$8&lt;&gt;"",B30&lt;Engine!$B$8,B30&gt;=EDATE(Engine!$B$8,-6),C30&gt;=25,C30&lt;=160),B30,DATE(9999,12,31))</f>
        <v>0</v>
      </c>
    </row>
    <row r="31" spans="1:14">
      <c r="B31" s="7"/>
      <c r="C31" s="19"/>
      <c r="G31" s="21"/>
      <c r="H31" s="21"/>
      <c r="I31" s="21"/>
      <c r="J31" s="21"/>
      <c r="K31" s="21"/>
      <c r="L31" s="21"/>
      <c r="M31">
        <f>IF(AND(ISNUMBER(B31),ISNUMBER(C31),B31&lt;=$C$9,C31&gt;=25,C31&lt;=160),B31,0)</f>
        <v>0</v>
      </c>
      <c r="N31">
        <f>IF(AND(ISNUMBER(B31),ISNUMBER(C31),Engine!$B$8&lt;&gt;"",B31&lt;Engine!$B$8,B31&gt;=EDATE(Engine!$B$8,-6),C31&gt;=25,C31&lt;=160),B31,DATE(9999,12,31))</f>
        <v>0</v>
      </c>
    </row>
    <row r="32" spans="1:14">
      <c r="B32" s="7"/>
      <c r="C32" s="19"/>
      <c r="G32" s="21"/>
      <c r="H32" s="21"/>
      <c r="I32" s="21"/>
      <c r="J32" s="21"/>
      <c r="K32" s="21"/>
      <c r="L32" s="21"/>
      <c r="M32">
        <f>IF(AND(ISNUMBER(B32),ISNUMBER(C32),B32&lt;=$C$9,C32&gt;=25,C32&lt;=160),B32,0)</f>
        <v>0</v>
      </c>
      <c r="N32">
        <f>IF(AND(ISNUMBER(B32),ISNUMBER(C32),Engine!$B$8&lt;&gt;"",B32&lt;Engine!$B$8,B32&gt;=EDATE(Engine!$B$8,-6),C32&gt;=25,C32&lt;=160),B32,DATE(9999,12,31))</f>
        <v>0</v>
      </c>
    </row>
    <row r="33" spans="2:14">
      <c r="B33" s="7"/>
      <c r="C33" s="19"/>
      <c r="M33">
        <f>IF(AND(ISNUMBER(B33),ISNUMBER(C33),B33&lt;=$C$9,C33&gt;=25,C33&lt;=160),B33,0)</f>
        <v>0</v>
      </c>
      <c r="N33">
        <f>IF(AND(ISNUMBER(B33),ISNUMBER(C33),Engine!$B$8&lt;&gt;"",B33&lt;Engine!$B$8,B33&gt;=EDATE(Engine!$B$8,-6),C33&gt;=25,C33&lt;=160),B33,DATE(9999,12,31))</f>
        <v>0</v>
      </c>
    </row>
    <row r="39" spans="2:14">
      <c r="G39" s="22" t="s">
        <v>49</v>
      </c>
      <c r="H39" s="22"/>
      <c r="I39" s="22"/>
      <c r="J39" s="22"/>
      <c r="K39" s="22"/>
      <c r="L39" s="22"/>
    </row>
    <row r="40" spans="2:14">
      <c r="G40" s="22"/>
      <c r="H40" s="22"/>
      <c r="I40" s="22"/>
      <c r="J40" s="22"/>
      <c r="K40" s="22"/>
      <c r="L40" s="22"/>
    </row>
    <row r="41" spans="2:14">
      <c r="G41" s="22"/>
      <c r="H41" s="22"/>
      <c r="I41" s="22"/>
      <c r="J41" s="22"/>
      <c r="K41" s="22"/>
      <c r="L41" s="22"/>
    </row>
  </sheetData>
  <mergeCells count="34">
    <mergeCell ref="A1:L1"/>
    <mergeCell ref="A2:L2"/>
    <mergeCell ref="A3:L5"/>
    <mergeCell ref="A6:L6"/>
    <mergeCell ref="A7:C7"/>
    <mergeCell ref="D9:F9"/>
    <mergeCell ref="D10:F10"/>
    <mergeCell ref="D11:F11"/>
    <mergeCell ref="D12:F12"/>
    <mergeCell ref="D13:F13"/>
    <mergeCell ref="D14:F14"/>
    <mergeCell ref="D15:F15"/>
    <mergeCell ref="D16:F16"/>
    <mergeCell ref="D17:F17"/>
    <mergeCell ref="D18:F18"/>
    <mergeCell ref="A21:C21"/>
    <mergeCell ref="G7:L7"/>
    <mergeCell ref="H9:I9"/>
    <mergeCell ref="H10:I10"/>
    <mergeCell ref="H11:I11"/>
    <mergeCell ref="H12:I12"/>
    <mergeCell ref="H13:I13"/>
    <mergeCell ref="H14:I14"/>
    <mergeCell ref="H16:I16"/>
    <mergeCell ref="H17:I17"/>
    <mergeCell ref="G20:I20"/>
    <mergeCell ref="K20:L20"/>
    <mergeCell ref="G21:I22"/>
    <mergeCell ref="K21:L22"/>
    <mergeCell ref="H23:I23"/>
    <mergeCell ref="G24:L24"/>
    <mergeCell ref="G25:L27"/>
    <mergeCell ref="G29:L32"/>
    <mergeCell ref="G39:L41"/>
  </mergeCells>
  <dataValidations count="12">
    <dataValidation type="list" allowBlank="1" showInputMessage="1" showErrorMessage="1" errorTitle="Invalid category" error="Choose a value from the dropdown." promptTitle="Select a value" prompt="Unknown is distinct from no." sqref="C11">
      <formula1>"female,male,unknown"</formula1>
    </dataValidation>
    <dataValidation type="list" allowBlank="1" showInputMessage="1" showErrorMessage="1" errorTitle="Invalid category" error="Choose a value from the dropdown." promptTitle="Select a value" prompt="Unknown is distinct from no." sqref="C12">
      <formula1>"lung,colorectal,oesophageal,gastric,pancreatic,hepatobiliary,head and neck,breast,prostate,other solid tumour"</formula1>
    </dataValidation>
    <dataValidation type="list" allowBlank="1" showInputMessage="1" showErrorMessage="1" errorTitle="Invalid category" error="Choose a value from the dropdown." promptTitle="Select a value" prompt="Unknown is distinct from no." sqref="C14">
      <formula1>"I,II,III,IV,unknown"</formula1>
    </dataValidation>
    <dataValidation type="list" allowBlank="1" showInputMessage="1" showErrorMessage="1" errorTitle="Invalid category" error="Choose a value from the dropdown." promptTitle="Select a value" prompt="Unknown is distinct from no." sqref="C16">
      <formula1>"0,1,2,3,4,unknown"</formula1>
    </dataValidation>
    <dataValidation type="list" allowBlank="1" showInputMessage="1" showErrorMessage="1" errorTitle="Invalid category" error="Choose a value from the dropdown." promptTitle="Select a value" prompt="Unknown is distinct from no." sqref="C17">
      <formula1>"yes,no,unknown"</formula1>
    </dataValidation>
    <dataValidation type="list" allowBlank="1" showInputMessage="1" showErrorMessage="1" errorTitle="Invalid category" error="Choose a value from the dropdown." promptTitle="Select a value" prompt="Unknown is distinct from no." sqref="C18">
      <formula1>"yes,no,unknown"</formula1>
    </dataValidation>
    <dataValidation type="list" allowBlank="1" showInputMessage="1" showErrorMessage="1" errorTitle="Invalid subtype" error="Choose a value permitted for the selected cancer type." promptTitle="Lung subtype" prompt="SCLC, NSCLC or unknown for lung; otherwise not applicable." sqref="C13">
      <formula1>INDIRECT(IF($C$12="lung","LungSubtypeValues","NonLungSubtypeValues"))</formula1>
    </dataValidation>
    <dataValidation type="date" allowBlank="1" showInputMessage="1" showErrorMessage="1" errorTitle="Invalid date" error="Enter a valid prediction date." sqref="C9">
      <formula1>36526</formula1>
      <formula2>73415</formula2>
    </dataValidation>
    <dataValidation type="whole" allowBlank="1" showInputMessage="1" showErrorMessage="1" errorTitle="Invalid age" error="Enter an age from 18 to 95." sqref="C10">
      <formula1>18</formula1>
      <formula2>95</formula2>
    </dataValidation>
    <dataValidation type="decimal" allowBlank="1" showInputMessage="1" showErrorMessage="1" errorTitle="Invalid height" error="Enter a height from 140 to 200 cm." sqref="C15">
      <formula1>140</formula1>
      <formula2>200</formula2>
    </dataValidation>
    <dataValidation type="date" allowBlank="1" showInputMessage="1" showErrorMessage="1" errorTitle="Invalid date" error="Enter a valid date or clear the row." sqref="B24:B33">
      <formula1>36526</formula1>
      <formula2>73415</formula2>
    </dataValidation>
    <dataValidation type="decimal" allowBlank="1" showInputMessage="1" showErrorMessage="1" errorTitle="Invalid weight" error="Enter a weight from 25 to 160 kg." sqref="C24:C33">
      <formula1>25</formula1>
      <formula2>160</formula2>
    </dataValidation>
  </dataValidations>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sheetPr codeName="Sheet2"/>
  <dimension ref="A8:D27"/>
  <sheetViews>
    <sheetView workbookViewId="0"/>
  </sheetViews>
  <sheetFormatPr defaultRowHeight="15"/>
  <sheetData>
    <row r="8" spans="1:2">
      <c r="A8" t="s">
        <v>50</v>
      </c>
      <c r="B8">
        <f>IF(MAX('Mock UI'!$M$24:$M$33)=0,"",MAX('Mock UI'!$M$24:$M$33))</f>
        <v>0</v>
      </c>
    </row>
    <row r="9" spans="1:2">
      <c r="A9" t="s">
        <v>51</v>
      </c>
      <c r="B9">
        <f>IF(B8="","",IF(COUNTIFS('Mock UI'!$B$24:$B$33,B8,'Mock UI'!$C$24:$C$33,"&gt;=25",'Mock UI'!$C$24:$C$33,"&lt;=160")&lt;&gt;1,"",SUMIFS('Mock UI'!$C$24:$C$33,'Mock UI'!$B$24:$B$33,B8,'Mock UI'!$C$24:$C$33,"&gt;=25",'Mock UI'!$C$24:$C$33,"&lt;=160")))</f>
        <v>0</v>
      </c>
    </row>
    <row r="10" spans="1:2">
      <c r="A10" t="s">
        <v>52</v>
      </c>
      <c r="B10">
        <f>IF(OR(B8="",MIN('Mock UI'!$N$24:$N$33)=DATE(9999,12,31)),"",MIN('Mock UI'!$N$24:$N$33))</f>
        <v>0</v>
      </c>
    </row>
    <row r="11" spans="1:2">
      <c r="A11" t="s">
        <v>53</v>
      </c>
      <c r="B11">
        <f>IF(B10="","",IF(COUNTIFS('Mock UI'!$B$24:$B$33,B10,'Mock UI'!$C$24:$C$33,"&gt;=25",'Mock UI'!$C$24:$C$33,"&lt;=160")&lt;&gt;1,"",SUMIFS('Mock UI'!$C$24:$C$33,'Mock UI'!$B$24:$B$33,B10,'Mock UI'!$C$24:$C$33,"&gt;=25",'Mock UI'!$C$24:$C$33,"&lt;=160")))</f>
        <v>0</v>
      </c>
    </row>
    <row r="12" spans="1:2">
      <c r="A12" t="s">
        <v>54</v>
      </c>
      <c r="B12">
        <f>IF(OR(B9="",'Mock UI'!C15=""),"",B9/('Mock UI'!C15/100)^2)</f>
        <v>0</v>
      </c>
    </row>
    <row r="13" spans="1:2">
      <c r="A13" t="s">
        <v>55</v>
      </c>
      <c r="B13">
        <f>IF(OR(B9="",B11=""),"",((B11-B9)/B11)*100)</f>
        <v>0</v>
      </c>
    </row>
    <row r="14" spans="1:2">
      <c r="A14" t="s">
        <v>56</v>
      </c>
      <c r="B14">
        <f>IF(OR(B8="",B10=""),"",B8-B10)</f>
        <v>0</v>
      </c>
    </row>
    <row r="15" spans="1:2">
      <c r="A15" t="s">
        <v>57</v>
      </c>
      <c r="B15">
        <f>IF(OR(B9="",B11="",B14&lt;=0),"",(B11-B9)/(B14/Assumptions!$B$8))</f>
        <v>0</v>
      </c>
    </row>
    <row r="16" spans="1:2">
      <c r="A16" t="s">
        <v>58</v>
      </c>
      <c r="B16">
        <f>IF(OR(B13="",B14&lt;=0),"",B13/(B14/Assumptions!$B$8))</f>
        <v>0</v>
      </c>
    </row>
    <row r="17" spans="1:4">
      <c r="A17" t="s">
        <v>41</v>
      </c>
      <c r="B17">
        <f>IF(B13="","unknown",IF(B13&gt;Assumptions!$B$9,"loss",IF(B13&lt;-Assumptions!$B$9,"gain","stable")))</f>
        <v>0</v>
      </c>
    </row>
    <row r="19" spans="1:4">
      <c r="A19" t="s">
        <v>42</v>
      </c>
      <c r="B19">
        <f>IF(B13="","unknown",IF(B13&gt;Assumptions!$B$10,"yes",IF(B13&lt;=Assumptions!$B$11,"no",IF(B12="","unknown",IF(B12&lt;Assumptions!$B$12,"yes","unknown")))))</f>
        <v>0</v>
      </c>
    </row>
    <row r="20" spans="1:4">
      <c r="A20" t="s">
        <v>43</v>
      </c>
      <c r="B20">
        <f>IF(B19="unknown","unknown",IF(B19="yes","no",IF(OR(B13&lt;=Assumptions!$B$13,B13&gt;Assumptions!$B$14),"no",IF('Mock UI'!C17="yes","yes",IF('Mock UI'!C17="no","no","unknown")))))</f>
        <v>0</v>
      </c>
    </row>
    <row r="23" spans="1:4">
      <c r="A23" t="s">
        <v>59</v>
      </c>
      <c r="B23" t="s">
        <v>60</v>
      </c>
      <c r="D23" t="s">
        <v>61</v>
      </c>
    </row>
    <row r="24" spans="1:4">
      <c r="A24" t="s">
        <v>62</v>
      </c>
      <c r="B24" t="s">
        <v>65</v>
      </c>
      <c r="D24" t="s">
        <v>65</v>
      </c>
    </row>
    <row r="25" spans="1:4">
      <c r="A25" t="s">
        <v>63</v>
      </c>
      <c r="B25">
        <f>IF(OR('Mock UI'!C14="unknown",'Mock UI'!C16="unknown",'Mock UI'!C17="unknown",B12="",B13=""),"withheld",IF(Assumptions!$B$20+IF('Mock UI'!C10&gt;Assumptions!$B$15,Assumptions!$B$21,0)+VLOOKUP('Mock UI'!C14,Assumptions!$H$8:$J$12,2,FALSE)+VLOOKUP('Mock UI'!C16&amp;"",Assumptions!$L$8:$N$13,2,FALSE)+VLOOKUP('Mock UI'!C17,Assumptions!$P$8:$R$10,2,FALSE)+MAX(0,N(B13))*Assumptions!$B$22+IF(AND(B12&lt;&gt;"",B12&lt;Assumptions!$B$12),Assumptions!$B$23,0)+(VLOOKUP('Mock UI'!C12,Assumptions!$E$8:$F$17,2,FALSE)-1)*Assumptions!$B$24&lt;Assumptions!$B$16,"low",IF(Assumptions!$B$20+IF('Mock UI'!C10&gt;Assumptions!$B$15,Assumptions!$B$21,0)+VLOOKUP('Mock UI'!C14,Assumptions!$H$8:$J$12,2,FALSE)+VLOOKUP('Mock UI'!C16&amp;"",Assumptions!$L$8:$N$13,2,FALSE)+VLOOKUP('Mock UI'!C17,Assumptions!$P$8:$R$10,2,FALSE)+MAX(0,N(B13))*Assumptions!$B$22+IF(AND(B12&lt;&gt;"",B12&lt;Assumptions!$B$12),Assumptions!$B$23,0)+(VLOOKUP('Mock UI'!C12,Assumptions!$E$8:$F$17,2,FALSE)-1)*Assumptions!$B$24&gt;=Assumptions!$B$17,"high","moderate")))</f>
        <v>0</v>
      </c>
      <c r="D25">
        <f>IF(OR('Mock UI'!C14="unknown",'Mock UI'!C16="unknown",'Mock UI'!C17="unknown",B12="",B13=""),"withheld",IF(Assumptions!$B$25+IF('Mock UI'!C10&gt;Assumptions!$B$15,Assumptions!$B$26,0)+VLOOKUP('Mock UI'!C14,Assumptions!$H$8:$J$12,3,FALSE)+VLOOKUP('Mock UI'!C16&amp;"",Assumptions!$L$8:$N$13,3,FALSE)+VLOOKUP('Mock UI'!C17,Assumptions!$P$8:$R$10,3,FALSE)+MAX(0,N(B13))*Assumptions!$B$27+IF(AND(B12&lt;&gt;"",B12&lt;Assumptions!$B$12),Assumptions!$B$28,0)+(VLOOKUP('Mock UI'!C12,Assumptions!$E$8:$F$17,2,FALSE)-1)*Assumptions!$B$29&lt;Assumptions!$B$16,"low",IF(Assumptions!$B$25+IF('Mock UI'!C10&gt;Assumptions!$B$15,Assumptions!$B$26,0)+VLOOKUP('Mock UI'!C14,Assumptions!$H$8:$J$12,3,FALSE)+VLOOKUP('Mock UI'!C16&amp;"",Assumptions!$L$8:$N$13,3,FALSE)+VLOOKUP('Mock UI'!C17,Assumptions!$P$8:$R$10,3,FALSE)+MAX(0,N(B13))*Assumptions!$B$27+IF(AND(B12&lt;&gt;"",B12&lt;Assumptions!$B$12),Assumptions!$B$28,0)+(VLOOKUP('Mock UI'!C12,Assumptions!$E$8:$F$17,2,FALSE)-1)*Assumptions!$B$29&gt;=Assumptions!$B$17,"high","moderate")))</f>
        <v>0</v>
      </c>
    </row>
    <row r="26" spans="1:4">
      <c r="A26" t="s">
        <v>46</v>
      </c>
      <c r="B26">
        <f>IF(B25="withheld","Illustrative simulation category; withheld missing required baseline predictors. Target outcome is not defined pending clinical review.","Illustrative simulation category; baseline predictors only; research-only. Target outcome is not defined pending clinical review.")</f>
        <v>0</v>
      </c>
      <c r="D26">
        <f>IF(D25="withheld","Illustrative simulation category; withheld missing required baseline predictors. Target outcome is not defined pending clinical review.","Illustrative simulation category; baseline predictors only; research-only. Target outcome is not defined pending clinical review.")</f>
        <v>0</v>
      </c>
    </row>
    <row r="27" spans="1:4">
      <c r="A27" t="s">
        <v>64</v>
      </c>
      <c r="B27">
        <f>IF(OR('Mock UI'!C14="unknown",'Mock UI'!C16="unknown",'Mock UI'!C17="unknown",B12="",B13=""),"Illustrative simulation category withheld: "&amp;IF('Mock UI'!C14="unknown","cancer stage is unknown; ","")&amp;IF('Mock UI'!C16="unknown","baseline ECOG is unknown; ","")&amp;IF('Mock UI'!C17="unknown","baseline reduced appetite is unknown; ","")&amp;IF(B12="","BMI is unavailable because height or baseline weight is unavailable; ","")&amp;IF(B13="","baseline weight change is unavailable because eligible prior history is insufficient; ",""),TRIM(IF('Mock UI'!C10&gt;Assumptions!$B$15,"age &gt;55; ","")&amp;IF(B13&gt;0,"baseline loss "&amp;TEXT(B13,"0.0")&amp;"%; ","")&amp;IF(AND(B12&lt;&gt;"",B12&lt;Assumptions!$B$12),"BMI &lt;20; ","")&amp;"stage "&amp;'Mock UI'!C14&amp;"; ECOG "&amp;'Mock UI'!C16&amp;"; appetite="&amp;'Mock UI'!C17&amp;"; "&amp;'Mock UI'!C12))</f>
        <v>0</v>
      </c>
      <c r="D27">
        <f>IF(OR('Mock UI'!C14="unknown",'Mock UI'!C16="unknown",'Mock UI'!C17="unknown",B12="",B13=""),"Illustrative simulation category withheld: "&amp;IF('Mock UI'!C14="unknown","cancer stage is unknown; ","")&amp;IF('Mock UI'!C16="unknown","baseline ECOG is unknown; ","")&amp;IF('Mock UI'!C17="unknown","baseline reduced appetite is unknown; ","")&amp;IF(B12="","BMI is unavailable because height or baseline weight is unavailable; ","")&amp;IF(B13="","baseline weight change is unavailable because eligible prior history is insufficient; ",""),TRIM(IF('Mock UI'!C10&gt;Assumptions!$B$15,"age &gt;55; ","")&amp;IF(B13&gt;0,"baseline loss "&amp;TEXT(B13,"0.0")&amp;"%; ","")&amp;IF(AND(B12&lt;&gt;"",B12&lt;Assumptions!$B$12),"BMI &lt;20; ","")&amp;"stage "&amp;'Mock UI'!C14&amp;"; ECOG "&amp;'Mock UI'!C16&amp;"; appetite="&amp;'Mock UI'!C17&amp;"; "&amp;'Mock UI'!C12))</f>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3"/>
  <dimension ref="A8:U29"/>
  <sheetViews>
    <sheetView workbookViewId="0"/>
  </sheetViews>
  <sheetFormatPr defaultRowHeight="15"/>
  <sheetData>
    <row r="8" spans="1:21">
      <c r="A8" t="s">
        <v>66</v>
      </c>
      <c r="B8">
        <v>30.4375</v>
      </c>
      <c r="E8" t="s">
        <v>13</v>
      </c>
      <c r="F8">
        <v>1.6</v>
      </c>
      <c r="H8" t="s">
        <v>97</v>
      </c>
      <c r="I8">
        <v>0</v>
      </c>
      <c r="J8">
        <v>0</v>
      </c>
      <c r="L8" t="s">
        <v>100</v>
      </c>
      <c r="M8">
        <v>-0.3</v>
      </c>
      <c r="N8">
        <v>-0.25</v>
      </c>
      <c r="P8" t="s">
        <v>104</v>
      </c>
      <c r="Q8">
        <v>0.75</v>
      </c>
      <c r="R8">
        <v>0.8</v>
      </c>
      <c r="T8" t="s">
        <v>105</v>
      </c>
      <c r="U8" t="s">
        <v>106</v>
      </c>
    </row>
    <row r="9" spans="1:21">
      <c r="A9" t="s">
        <v>67</v>
      </c>
      <c r="B9">
        <v>0.5</v>
      </c>
      <c r="E9" t="s">
        <v>88</v>
      </c>
      <c r="F9">
        <v>1.3</v>
      </c>
      <c r="H9" t="s">
        <v>98</v>
      </c>
      <c r="I9">
        <v>0.2</v>
      </c>
      <c r="J9">
        <v>0.2</v>
      </c>
      <c r="L9" t="s">
        <v>101</v>
      </c>
      <c r="M9">
        <v>0</v>
      </c>
      <c r="N9">
        <v>0</v>
      </c>
      <c r="P9" t="s">
        <v>27</v>
      </c>
      <c r="Q9">
        <v>0</v>
      </c>
      <c r="R9">
        <v>0</v>
      </c>
      <c r="T9" t="s">
        <v>16</v>
      </c>
    </row>
    <row r="10" spans="1:21">
      <c r="A10" t="s">
        <v>68</v>
      </c>
      <c r="B10">
        <v>5</v>
      </c>
      <c r="E10" t="s">
        <v>89</v>
      </c>
      <c r="F10">
        <v>1.8</v>
      </c>
      <c r="H10" t="s">
        <v>19</v>
      </c>
      <c r="I10">
        <v>0.5</v>
      </c>
      <c r="J10">
        <v>0.5</v>
      </c>
      <c r="L10" t="s">
        <v>24</v>
      </c>
      <c r="M10">
        <v>0.35</v>
      </c>
      <c r="N10">
        <v>0.4</v>
      </c>
      <c r="P10" t="s">
        <v>30</v>
      </c>
      <c r="Q10">
        <v>0.15</v>
      </c>
      <c r="R10">
        <v>0.15</v>
      </c>
      <c r="T10" t="s">
        <v>30</v>
      </c>
    </row>
    <row r="11" spans="1:21">
      <c r="A11" t="s">
        <v>69</v>
      </c>
      <c r="B11">
        <v>2</v>
      </c>
      <c r="E11" t="s">
        <v>90</v>
      </c>
      <c r="F11">
        <v>1.8</v>
      </c>
      <c r="H11" t="s">
        <v>99</v>
      </c>
      <c r="I11">
        <v>1</v>
      </c>
      <c r="J11">
        <v>1</v>
      </c>
      <c r="L11" t="s">
        <v>102</v>
      </c>
      <c r="M11">
        <v>0.7</v>
      </c>
      <c r="N11">
        <v>0.8</v>
      </c>
    </row>
    <row r="12" spans="1:21">
      <c r="A12" t="s">
        <v>70</v>
      </c>
      <c r="B12">
        <v>20</v>
      </c>
      <c r="E12" t="s">
        <v>91</v>
      </c>
      <c r="F12">
        <v>2</v>
      </c>
      <c r="H12" t="s">
        <v>30</v>
      </c>
      <c r="I12">
        <v>0</v>
      </c>
      <c r="J12">
        <v>0</v>
      </c>
      <c r="L12" t="s">
        <v>103</v>
      </c>
      <c r="M12">
        <v>1</v>
      </c>
      <c r="N12">
        <v>1.1</v>
      </c>
    </row>
    <row r="13" spans="1:21">
      <c r="A13" t="s">
        <v>71</v>
      </c>
      <c r="B13">
        <v>1</v>
      </c>
      <c r="E13" t="s">
        <v>92</v>
      </c>
      <c r="F13">
        <v>2</v>
      </c>
      <c r="L13" t="s">
        <v>30</v>
      </c>
      <c r="M13">
        <v>0</v>
      </c>
      <c r="N13">
        <v>0</v>
      </c>
    </row>
    <row r="14" spans="1:21">
      <c r="A14" t="s">
        <v>72</v>
      </c>
      <c r="B14">
        <v>5</v>
      </c>
      <c r="E14" t="s">
        <v>93</v>
      </c>
      <c r="F14">
        <v>1.6</v>
      </c>
    </row>
    <row r="15" spans="1:21">
      <c r="A15" t="s">
        <v>73</v>
      </c>
      <c r="B15">
        <v>55</v>
      </c>
      <c r="E15" t="s">
        <v>94</v>
      </c>
      <c r="F15">
        <v>1</v>
      </c>
    </row>
    <row r="16" spans="1:21">
      <c r="A16" t="s">
        <v>74</v>
      </c>
      <c r="B16">
        <v>-0.8472978603872036</v>
      </c>
      <c r="E16" t="s">
        <v>95</v>
      </c>
      <c r="F16">
        <v>1</v>
      </c>
    </row>
    <row r="17" spans="1:6">
      <c r="A17" t="s">
        <v>75</v>
      </c>
      <c r="B17">
        <v>0.4054651081081642</v>
      </c>
      <c r="E17" t="s">
        <v>96</v>
      </c>
      <c r="F17">
        <v>1</v>
      </c>
    </row>
    <row r="18" spans="1:6">
      <c r="A18" t="s">
        <v>76</v>
      </c>
      <c r="B18">
        <v>25</v>
      </c>
    </row>
    <row r="19" spans="1:6">
      <c r="A19" t="s">
        <v>77</v>
      </c>
      <c r="B19">
        <v>160</v>
      </c>
    </row>
    <row r="20" spans="1:6">
      <c r="A20" t="s">
        <v>78</v>
      </c>
      <c r="B20">
        <v>-2</v>
      </c>
    </row>
    <row r="21" spans="1:6">
      <c r="A21" t="s">
        <v>79</v>
      </c>
      <c r="B21">
        <v>0.25</v>
      </c>
    </row>
    <row r="22" spans="1:6">
      <c r="A22" t="s">
        <v>80</v>
      </c>
      <c r="B22">
        <v>0.13</v>
      </c>
    </row>
    <row r="23" spans="1:6">
      <c r="A23" t="s">
        <v>81</v>
      </c>
      <c r="B23">
        <v>0.45</v>
      </c>
    </row>
    <row r="24" spans="1:6">
      <c r="A24" t="s">
        <v>82</v>
      </c>
      <c r="B24">
        <v>1</v>
      </c>
    </row>
    <row r="25" spans="1:6">
      <c r="A25" t="s">
        <v>83</v>
      </c>
      <c r="B25">
        <v>-1.45</v>
      </c>
    </row>
    <row r="26" spans="1:6">
      <c r="A26" t="s">
        <v>84</v>
      </c>
      <c r="B26">
        <v>0.3</v>
      </c>
    </row>
    <row r="27" spans="1:6">
      <c r="A27" t="s">
        <v>85</v>
      </c>
      <c r="B27">
        <v>0.15</v>
      </c>
    </row>
    <row r="28" spans="1:6">
      <c r="A28" t="s">
        <v>86</v>
      </c>
      <c r="B28">
        <v>0.5</v>
      </c>
    </row>
    <row r="29" spans="1:6">
      <c r="A29" t="s">
        <v>87</v>
      </c>
      <c r="B29">
        <v>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G17"/>
  <sheetViews>
    <sheetView showGridLines="0" workbookViewId="0"/>
  </sheetViews>
  <sheetFormatPr defaultRowHeight="15"/>
  <cols>
    <col min="1" max="1" width="14.7109375" customWidth="1"/>
    <col min="2" max="2" width="58.7109375" customWidth="1"/>
    <col min="3" max="3" width="24.7109375" customWidth="1"/>
    <col min="4" max="4" width="22.7109375" customWidth="1"/>
    <col min="5" max="6" width="40.7109375" customWidth="1"/>
    <col min="7" max="7" width="18.7109375" customWidth="1"/>
  </cols>
  <sheetData>
    <row r="1" spans="1:7">
      <c r="A1" s="1" t="s">
        <v>107</v>
      </c>
      <c r="B1" s="1"/>
      <c r="C1" s="1"/>
      <c r="D1" s="1"/>
      <c r="E1" s="1"/>
      <c r="F1" s="1"/>
      <c r="G1" s="1"/>
    </row>
    <row r="2" spans="1:7">
      <c r="A2" s="2" t="s">
        <v>108</v>
      </c>
      <c r="B2" s="2"/>
      <c r="C2" s="2"/>
      <c r="D2" s="2"/>
      <c r="E2" s="2"/>
      <c r="F2" s="2"/>
      <c r="G2" s="2"/>
    </row>
    <row r="4" spans="1:7">
      <c r="A4" s="3" t="s">
        <v>109</v>
      </c>
      <c r="B4" s="3"/>
      <c r="C4" s="3"/>
      <c r="D4" s="3"/>
      <c r="E4" s="3"/>
      <c r="F4" s="3"/>
      <c r="G4" s="3"/>
    </row>
    <row r="5" spans="1:7">
      <c r="A5" s="3"/>
      <c r="B5" s="3"/>
      <c r="C5" s="3"/>
      <c r="D5" s="3"/>
      <c r="E5" s="3"/>
      <c r="F5" s="3"/>
      <c r="G5" s="3"/>
    </row>
    <row r="7" spans="1:7">
      <c r="A7" s="18" t="s">
        <v>110</v>
      </c>
      <c r="B7" s="18" t="s">
        <v>111</v>
      </c>
      <c r="C7" s="18" t="s">
        <v>112</v>
      </c>
      <c r="D7" s="18" t="s">
        <v>113</v>
      </c>
      <c r="E7" s="18" t="s">
        <v>114</v>
      </c>
      <c r="F7" s="18" t="s">
        <v>115</v>
      </c>
      <c r="G7" s="18" t="s">
        <v>116</v>
      </c>
    </row>
    <row r="8" spans="1:7">
      <c r="A8" t="s">
        <v>117</v>
      </c>
      <c r="B8" t="s">
        <v>118</v>
      </c>
      <c r="C8" t="s">
        <v>119</v>
      </c>
      <c r="D8" s="23" t="s">
        <v>120</v>
      </c>
      <c r="E8" s="23"/>
      <c r="F8" s="23"/>
      <c r="G8" s="23"/>
    </row>
    <row r="9" spans="1:7">
      <c r="A9" t="s">
        <v>121</v>
      </c>
      <c r="B9" t="s">
        <v>122</v>
      </c>
      <c r="C9" t="s">
        <v>119</v>
      </c>
      <c r="D9" s="23" t="s">
        <v>120</v>
      </c>
      <c r="E9" s="23"/>
      <c r="F9" s="23"/>
      <c r="G9" s="23"/>
    </row>
    <row r="10" spans="1:7">
      <c r="A10" t="s">
        <v>123</v>
      </c>
      <c r="B10" t="s">
        <v>124</v>
      </c>
      <c r="C10" t="s">
        <v>119</v>
      </c>
      <c r="D10" s="23" t="s">
        <v>120</v>
      </c>
      <c r="E10" s="23"/>
      <c r="F10" s="23"/>
      <c r="G10" s="23"/>
    </row>
    <row r="11" spans="1:7">
      <c r="A11" t="s">
        <v>125</v>
      </c>
      <c r="B11" t="s">
        <v>126</v>
      </c>
      <c r="C11" t="s">
        <v>119</v>
      </c>
      <c r="D11" s="23" t="s">
        <v>120</v>
      </c>
      <c r="E11" s="23"/>
      <c r="F11" s="23"/>
      <c r="G11" s="23"/>
    </row>
    <row r="12" spans="1:7">
      <c r="A12" t="s">
        <v>127</v>
      </c>
      <c r="B12" t="s">
        <v>128</v>
      </c>
      <c r="C12" t="s">
        <v>119</v>
      </c>
      <c r="D12" s="23" t="s">
        <v>120</v>
      </c>
      <c r="E12" s="23"/>
      <c r="F12" s="23"/>
      <c r="G12" s="23"/>
    </row>
    <row r="13" spans="1:7">
      <c r="A13" t="s">
        <v>129</v>
      </c>
      <c r="B13" t="s">
        <v>130</v>
      </c>
      <c r="C13" t="s">
        <v>119</v>
      </c>
      <c r="D13" s="23" t="s">
        <v>120</v>
      </c>
      <c r="E13" s="23"/>
      <c r="F13" s="23"/>
      <c r="G13" s="23"/>
    </row>
    <row r="14" spans="1:7">
      <c r="A14" t="s">
        <v>131</v>
      </c>
      <c r="B14" t="s">
        <v>132</v>
      </c>
      <c r="C14" t="s">
        <v>119</v>
      </c>
      <c r="D14" s="23" t="s">
        <v>120</v>
      </c>
      <c r="E14" s="23"/>
      <c r="F14" s="23"/>
      <c r="G14" s="23"/>
    </row>
    <row r="15" spans="1:7">
      <c r="A15" t="s">
        <v>133</v>
      </c>
      <c r="B15" t="s">
        <v>134</v>
      </c>
      <c r="C15" t="s">
        <v>119</v>
      </c>
      <c r="D15" s="23" t="s">
        <v>120</v>
      </c>
      <c r="E15" s="23"/>
      <c r="F15" s="23"/>
      <c r="G15" s="23"/>
    </row>
    <row r="16" spans="1:7">
      <c r="A16" t="s">
        <v>135</v>
      </c>
      <c r="B16" t="s">
        <v>136</v>
      </c>
      <c r="C16" t="s">
        <v>119</v>
      </c>
      <c r="D16" s="23" t="s">
        <v>120</v>
      </c>
      <c r="E16" s="23"/>
      <c r="F16" s="23"/>
      <c r="G16" s="23"/>
    </row>
    <row r="17" spans="1:7">
      <c r="A17" t="s">
        <v>137</v>
      </c>
      <c r="B17" t="s">
        <v>138</v>
      </c>
      <c r="C17" t="s">
        <v>119</v>
      </c>
      <c r="D17" s="23" t="s">
        <v>120</v>
      </c>
      <c r="E17" s="23"/>
      <c r="F17" s="23"/>
      <c r="G17" s="23"/>
    </row>
  </sheetData>
  <mergeCells count="3">
    <mergeCell ref="A1:G1"/>
    <mergeCell ref="A2:G2"/>
    <mergeCell ref="A4:G5"/>
  </mergeCells>
  <dataValidations count="1">
    <dataValidation type="list" allowBlank="1" showInputMessage="1" showErrorMessage="1" sqref="D8:D17">
      <formula1>"pending,approved,rejected,revision_requested"</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Mock UI</vt:lpstr>
      <vt:lpstr>Engine</vt:lpstr>
      <vt:lpstr>Assumptions</vt:lpstr>
      <vt:lpstr>Clinical Review</vt:lpstr>
      <vt:lpstr>LungSubtypeValues</vt:lpstr>
      <vt:lpstr>NonLungSubtypeValues</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Synthetic cachexia simulation mock UI</dc:title>
  <dc:subject>Research-only synthetic proof of concept</dc:subject>
  <dc:creator/>
  <dc:description>Not clinically validated. Do not use for medical decisions.</dc:description>
  <cp:lastModifiedBy/>
  <dcterms:created xsi:type="dcterms:W3CDTF">2026-08-21T07:22:54Z</dcterms:created>
  <dcterms:modified xsi:type="dcterms:W3CDTF">2026-08-21T07:22:54Z</dcterms:modified>
</cp:coreProperties>
</file>