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Mock UI" sheetId="1" r:id="rId1"/>
    <sheet name="Engine" sheetId="2" state="hidden" r:id="rId2"/>
    <sheet name="Assumptions" sheetId="3" state="hidden" r:id="rId3"/>
    <sheet name="Clinical Review" sheetId="4" r:id="rId4"/>
  </sheets>
  <definedNames>
    <definedName name="LungSubtypeValues">Assumptions!$T$8:$T$10</definedName>
    <definedName name="NonLungSubtypeValues">Assumptions!$U$8:$U$8</definedName>
  </definedNames>
  <calcPr calcId="124519" fullCalcOnLoad="1"/>
</workbook>
</file>

<file path=xl/sharedStrings.xml><?xml version="1.0" encoding="utf-8"?>
<sst xmlns="http://schemas.openxmlformats.org/spreadsheetml/2006/main" count="152" uniqueCount="127">
  <si>
    <t>Synthetic cachexia risk mock UI</t>
  </si>
  <si>
    <t>Enter a synthetic profile, use a sample button, and review separate three- and six-month illustrative outputs.</t>
  </si>
  <si>
    <t>NOT FOR CLINICAL USE. All patients and outputs are synthetic. Risk relationships are simulation assumptions, not clinically validated effects. Do not use for diagnosis, prognosis, treatment, patient care, or medical decisions.</t>
  </si>
  <si>
    <t>1  Synthetic patient inputs</t>
  </si>
  <si>
    <t>Prediction date</t>
  </si>
  <si>
    <t>Required date. Records after this date cannot be predictors.</t>
  </si>
  <si>
    <t>Age (years)</t>
  </si>
  <si>
    <t>Required whole number: 18 to 95 years.</t>
  </si>
  <si>
    <t>Sex</t>
  </si>
  <si>
    <t>female</t>
  </si>
  <si>
    <t>Valid: female, male or unknown.</t>
  </si>
  <si>
    <t>Cancer type</t>
  </si>
  <si>
    <t>lung</t>
  </si>
  <si>
    <t>Required confirmed cancer type from the dropdown.</t>
  </si>
  <si>
    <t>Cancer subtype</t>
  </si>
  <si>
    <t>NSCLC</t>
  </si>
  <si>
    <t>Required for lung: SCLC, NSCLC or unknown.</t>
  </si>
  <si>
    <t>Cancer stage</t>
  </si>
  <si>
    <t>III</t>
  </si>
  <si>
    <t>Valid: I, II, III, IV or unknown.</t>
  </si>
  <si>
    <t>Height (cm)</t>
  </si>
  <si>
    <t>Required: 140 to 200 cm.</t>
  </si>
  <si>
    <t>Baseline ECOG</t>
  </si>
  <si>
    <t>2</t>
  </si>
  <si>
    <t>Valid: 0, 1, 2, 3, 4 or unknown.</t>
  </si>
  <si>
    <t>Reduced appetite</t>
  </si>
  <si>
    <t>no</t>
  </si>
  <si>
    <t>Valid: yes, no or unknown/not documented.</t>
  </si>
  <si>
    <t>Documented sarcopenia evidence</t>
  </si>
  <si>
    <t>unknown</t>
  </si>
  <si>
    <t>yes=documented; no=assessed and absent; unknown=not assessed/documented.</t>
  </si>
  <si>
    <t>2  Dated weight history</t>
  </si>
  <si>
    <t>Measurement date</t>
  </si>
  <si>
    <t>Weight (kg)</t>
  </si>
  <si>
    <t>3  Automatic synthetic outputs</t>
  </si>
  <si>
    <t>Baseline/current weight</t>
  </si>
  <si>
    <t>BMI</t>
  </si>
  <si>
    <t>Weight loss</t>
  </si>
  <si>
    <t>Interval</t>
  </si>
  <si>
    <t>Weight-loss rate</t>
  </si>
  <si>
    <t>Trajectory</t>
  </si>
  <si>
    <t>Implemented cachexia criteria met?</t>
  </si>
  <si>
    <t>Provisional early-risk pattern met?</t>
  </si>
  <si>
    <t>3-month illustrative output</t>
  </si>
  <si>
    <t>6-month illustrative output</t>
  </si>
  <si>
    <t>Risk band</t>
  </si>
  <si>
    <t>Rules shown in plain language
Implemented cachexia criteria: &gt;5% weight loss, &gt;2% weight loss with BMI &lt;20 kg/m², or &gt;2% loss with documented sarcopenia. For sarcopenia, no=assessed and absent; unknown=not documented. It is never inferred and has no simulated risk coefficient.
Provisional early-risk pattern: cachexia criteria not met, &gt;1% and &lt;=5% weight loss, and reduced appetite=yes. This project proposal requires clinical review.</t>
  </si>
  <si>
    <t>Buttons require macros to be enabled. Inputs, dropdowns, formulas, and live outputs still work when macros are disabled.</t>
  </si>
  <si>
    <t>Baseline weight date</t>
  </si>
  <si>
    <t>Baseline/current weight (kg)</t>
  </si>
  <si>
    <t>Prior comparison date</t>
  </si>
  <si>
    <t>Prior comparison weight (kg)</t>
  </si>
  <si>
    <t>BMI (kg/m²)</t>
  </si>
  <si>
    <t>Percentage weight loss (+ = loss)</t>
  </si>
  <si>
    <t>Interval (days)</t>
  </si>
  <si>
    <t>Weight-loss rate (kg/month)</t>
  </si>
  <si>
    <t>Rate (percentage points/month)</t>
  </si>
  <si>
    <t>Simulated horizon</t>
  </si>
  <si>
    <t>3 months</t>
  </si>
  <si>
    <t>6 months</t>
  </si>
  <si>
    <t>DaysPerMonth</t>
  </si>
  <si>
    <t>TrajectoryEpsilon</t>
  </si>
  <si>
    <t>FearonPrimary</t>
  </si>
  <si>
    <t>FearonConditional</t>
  </si>
  <si>
    <t>FearonBMI</t>
  </si>
  <si>
    <t>PreLower</t>
  </si>
  <si>
    <t>PreUpper</t>
  </si>
  <si>
    <t>AgeThreshold</t>
  </si>
  <si>
    <t>BandLow</t>
  </si>
  <si>
    <t>BandHigh</t>
  </si>
  <si>
    <t>WeightMin</t>
  </si>
  <si>
    <t>WeightMax</t>
  </si>
  <si>
    <t>Risk3Intercept</t>
  </si>
  <si>
    <t>Risk3Age</t>
  </si>
  <si>
    <t>Risk3Loss</t>
  </si>
  <si>
    <t>Risk3BMI</t>
  </si>
  <si>
    <t>Risk3Cancer</t>
  </si>
  <si>
    <t>Risk6Intercept</t>
  </si>
  <si>
    <t>Risk6Age</t>
  </si>
  <si>
    <t>Risk6Loss</t>
  </si>
  <si>
    <t>Risk6BMI</t>
  </si>
  <si>
    <t>Risk6Cancer</t>
  </si>
  <si>
    <t>colorectal</t>
  </si>
  <si>
    <t>oesophageal</t>
  </si>
  <si>
    <t>gastric</t>
  </si>
  <si>
    <t>pancreatic</t>
  </si>
  <si>
    <t>hepatobiliary</t>
  </si>
  <si>
    <t>head and neck</t>
  </si>
  <si>
    <t>breast</t>
  </si>
  <si>
    <t>prostate</t>
  </si>
  <si>
    <t>other solid tumour</t>
  </si>
  <si>
    <t>I</t>
  </si>
  <si>
    <t>II</t>
  </si>
  <si>
    <t>IV</t>
  </si>
  <si>
    <t>0</t>
  </si>
  <si>
    <t>1</t>
  </si>
  <si>
    <t>3</t>
  </si>
  <si>
    <t>4</t>
  </si>
  <si>
    <t>yes</t>
  </si>
  <si>
    <t>SCLC</t>
  </si>
  <si>
    <t>not applicable</t>
  </si>
  <si>
    <t>Clinical review decisions</t>
  </si>
  <si>
    <t>No approval has been received. Record decisions explicitly; blank is not approval.</t>
  </si>
  <si>
    <t>NOT FOR CLINICAL USE. Review of this workbook does not constitute clinical validation or approval.</t>
  </si>
  <si>
    <t>ID</t>
  </si>
  <si>
    <t>Question</t>
  </si>
  <si>
    <t>Owner</t>
  </si>
  <si>
    <t>Status</t>
  </si>
  <si>
    <t>Decision</t>
  </si>
  <si>
    <t>Rationale</t>
  </si>
  <si>
    <t>Effective date</t>
  </si>
  <si>
    <t>CLIN-001</t>
  </si>
  <si>
    <t>Confirm/revise predictor ranges and distributions</t>
  </si>
  <si>
    <t>Clinical review</t>
  </si>
  <si>
    <t>pending</t>
  </si>
  <si>
    <t>CLIN-002</t>
  </si>
  <si>
    <t>Confirm stage/ECOG/appetite simulation relationships</t>
  </si>
  <si>
    <t>CLIN-003</t>
  </si>
  <si>
    <t>Approve/reject/revise provisional pre-cachexia rule</t>
  </si>
  <si>
    <t>CLIN-004</t>
  </si>
  <si>
    <t>Confirm Fearon implementation and unknown behavior</t>
  </si>
  <si>
    <t>CLIN-005</t>
  </si>
  <si>
    <t>Confirm outcome selection and inclusive boundaries</t>
  </si>
  <si>
    <t>CLIN-006</t>
  </si>
  <si>
    <t>Confirm sarcopenia representation</t>
  </si>
  <si>
    <t>UX-001</t>
  </si>
  <si>
    <t>Identify clinically misleading wording or presentation</t>
  </si>
</sst>
</file>

<file path=xl/styles.xml><?xml version="1.0" encoding="utf-8"?>
<styleSheet xmlns="http://schemas.openxmlformats.org/spreadsheetml/2006/main">
  <numFmts count="7">
    <numFmt numFmtId="164" formatCode="yyyy-mm-dd"/>
    <numFmt numFmtId="165" formatCode="0.00 &quot;kg&quot;"/>
    <numFmt numFmtId="166" formatCode="0.00"/>
    <numFmt numFmtId="167" formatCode="0.00%"/>
    <numFmt numFmtId="168" formatCode="0 &quot;days&quot;"/>
    <numFmt numFmtId="169" formatCode="0.00 &quot;kg/month&quot;"/>
    <numFmt numFmtId="170" formatCode="0.0%"/>
  </numFmts>
  <fonts count="10">
    <font>
      <sz val="11"/>
      <color theme="1"/>
      <name val="Calibri"/>
      <family val="2"/>
      <scheme val="minor"/>
    </font>
    <font>
      <b/>
      <sz val="20"/>
      <color rgb="FFFFFFFF"/>
      <name val="Calibri"/>
      <family val="2"/>
      <scheme val="minor"/>
    </font>
    <font>
      <i/>
      <sz val="11"/>
      <color rgb="FF44545B"/>
      <name val="Calibri"/>
      <family val="2"/>
      <scheme val="minor"/>
    </font>
    <font>
      <b/>
      <sz val="11"/>
      <color rgb="FF7A2F12"/>
      <name val="Calibri"/>
      <family val="2"/>
      <scheme val="minor"/>
    </font>
    <font>
      <b/>
      <sz val="13"/>
      <color rgb="FFFFFFFF"/>
      <name val="Calibri"/>
      <family val="2"/>
      <scheme val="minor"/>
    </font>
    <font>
      <b/>
      <sz val="11"/>
      <color rgb="FF17324D"/>
      <name val="Calibri"/>
      <family val="2"/>
      <scheme val="minor"/>
    </font>
    <font>
      <sz val="9"/>
      <color rgb="FF44545B"/>
      <name val="Calibri"/>
      <family val="2"/>
      <scheme val="minor"/>
    </font>
    <font>
      <b/>
      <sz val="11"/>
      <color theme="1"/>
      <name val="Calibri"/>
      <family val="2"/>
      <scheme val="minor"/>
    </font>
    <font>
      <b/>
      <sz val="11"/>
      <color rgb="FFFFFFFF"/>
      <name val="Calibri"/>
      <family val="2"/>
      <scheme val="minor"/>
    </font>
    <font>
      <b/>
      <sz val="20"/>
      <color rgb="FF006D71"/>
      <name val="Calibri"/>
      <family val="2"/>
      <scheme val="minor"/>
    </font>
  </fonts>
  <fills count="8">
    <fill>
      <patternFill patternType="none"/>
    </fill>
    <fill>
      <patternFill patternType="gray125"/>
    </fill>
    <fill>
      <patternFill patternType="solid">
        <fgColor rgb="FF17324D"/>
        <bgColor indexed="64"/>
      </patternFill>
    </fill>
    <fill>
      <patternFill patternType="solid">
        <fgColor rgb="FFFFF1E9"/>
        <bgColor indexed="64"/>
      </patternFill>
    </fill>
    <fill>
      <patternFill patternType="solid">
        <fgColor rgb="FF006D71"/>
        <bgColor indexed="64"/>
      </patternFill>
    </fill>
    <fill>
      <patternFill patternType="solid">
        <fgColor rgb="FFD9EAF7"/>
        <bgColor indexed="64"/>
      </patternFill>
    </fill>
    <fill>
      <patternFill patternType="solid">
        <fgColor rgb="FFE7ECEE"/>
        <bgColor indexed="64"/>
      </patternFill>
    </fill>
    <fill>
      <patternFill patternType="solid">
        <fgColor rgb="FFDDEFEF"/>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1" fillId="2" borderId="0" xfId="0" applyFont="1" applyFill="1" applyAlignment="1">
      <alignment horizontal="left" vertical="center"/>
    </xf>
    <xf numFmtId="0" fontId="2" fillId="0" borderId="0" xfId="0" applyFont="1" applyAlignment="1">
      <alignment vertical="center" wrapText="1"/>
    </xf>
    <xf numFmtId="0" fontId="3" fillId="3" borderId="1" xfId="0" applyFont="1" applyFill="1" applyBorder="1" applyAlignment="1">
      <alignment vertical="center" wrapText="1"/>
    </xf>
    <xf numFmtId="0" fontId="4" fillId="4" borderId="0" xfId="0" applyFont="1" applyFill="1" applyAlignment="1">
      <alignment horizontal="left" vertical="center"/>
    </xf>
    <xf numFmtId="0" fontId="5" fillId="0" borderId="0" xfId="0" applyFont="1" applyAlignment="1">
      <alignment vertical="center"/>
    </xf>
    <xf numFmtId="164" fontId="0" fillId="5" borderId="1" xfId="0" applyNumberFormat="1" applyFill="1" applyBorder="1" applyAlignment="1">
      <alignment vertical="center"/>
    </xf>
    <xf numFmtId="0" fontId="6" fillId="6" borderId="1" xfId="0" applyFont="1" applyFill="1" applyBorder="1" applyAlignment="1">
      <alignment vertical="center" wrapText="1"/>
    </xf>
    <xf numFmtId="165" fontId="7" fillId="7" borderId="1" xfId="0" applyNumberFormat="1" applyFont="1" applyFill="1" applyBorder="1" applyAlignment="1">
      <alignment horizontal="center"/>
    </xf>
    <xf numFmtId="0" fontId="0" fillId="5" borderId="1" xfId="0" applyFill="1" applyBorder="1" applyAlignment="1">
      <alignment vertical="center"/>
    </xf>
    <xf numFmtId="166" fontId="7" fillId="7" borderId="1" xfId="0" applyNumberFormat="1" applyFont="1" applyFill="1" applyBorder="1" applyAlignment="1">
      <alignment horizontal="center"/>
    </xf>
    <xf numFmtId="167" fontId="7" fillId="7" borderId="1" xfId="0" applyNumberFormat="1" applyFont="1" applyFill="1" applyBorder="1" applyAlignment="1">
      <alignment horizontal="center"/>
    </xf>
    <xf numFmtId="168" fontId="7" fillId="7" borderId="1" xfId="0" applyNumberFormat="1" applyFont="1" applyFill="1" applyBorder="1" applyAlignment="1">
      <alignment horizontal="center"/>
    </xf>
    <xf numFmtId="169" fontId="7" fillId="7" borderId="1" xfId="0" applyNumberFormat="1" applyFont="1" applyFill="1" applyBorder="1" applyAlignment="1">
      <alignment horizontal="center"/>
    </xf>
    <xf numFmtId="0" fontId="7" fillId="7" borderId="1" xfId="0" applyFont="1" applyFill="1" applyBorder="1" applyAlignment="1">
      <alignment horizontal="center" vertical="center"/>
    </xf>
    <xf numFmtId="0" fontId="8" fillId="2" borderId="0" xfId="0" applyFont="1" applyFill="1" applyAlignment="1">
      <alignment horizontal="center"/>
    </xf>
    <xf numFmtId="170" fontId="9" fillId="7" borderId="1" xfId="0" applyNumberFormat="1" applyFont="1" applyFill="1" applyBorder="1" applyAlignment="1">
      <alignment horizontal="center" vertical="center"/>
    </xf>
    <xf numFmtId="0" fontId="8" fillId="4" borderId="1" xfId="0" applyFont="1" applyFill="1" applyBorder="1" applyAlignment="1">
      <alignment horizontal="center"/>
    </xf>
    <xf numFmtId="165" fontId="0" fillId="5" borderId="1" xfId="0" applyNumberFormat="1" applyFill="1" applyBorder="1" applyAlignment="1">
      <alignment vertical="center"/>
    </xf>
    <xf numFmtId="0" fontId="0" fillId="6" borderId="1" xfId="0" applyFill="1" applyBorder="1" applyAlignment="1">
      <alignment vertical="top" wrapText="1"/>
    </xf>
    <xf numFmtId="0" fontId="0" fillId="3" borderId="1" xfId="0" applyFill="1" applyBorder="1" applyAlignment="1">
      <alignment vertical="top" wrapText="1"/>
    </xf>
    <xf numFmtId="0" fontId="2" fillId="6" borderId="1" xfId="0" applyFont="1" applyFill="1" applyBorder="1" applyAlignment="1">
      <alignment vertical="center" wrapText="1"/>
    </xf>
    <xf numFmtId="0" fontId="0" fillId="5" borderId="1" xfId="0" applyFill="1" applyBorder="1" applyAlignment="1">
      <alignment vertical="top"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1">
    <tabColor rgb="FF006D71"/>
  </sheetPr>
  <dimension ref="A1:N41"/>
  <sheetViews>
    <sheetView showGridLines="0" tabSelected="1" workbookViewId="0">
      <pane ySplit="7" topLeftCell="A8" activePane="bottomLeft" state="frozen"/>
      <selection pane="bottomLeft"/>
    </sheetView>
  </sheetViews>
  <sheetFormatPr defaultRowHeight="15"/>
  <cols>
    <col min="1" max="1" width="3.7109375" customWidth="1"/>
    <col min="2" max="2" width="27.7109375" customWidth="1"/>
    <col min="3" max="3" width="20.7109375" customWidth="1"/>
    <col min="4" max="6" width="10.7109375" customWidth="1"/>
    <col min="7" max="7" width="25.7109375" customWidth="1"/>
    <col min="8" max="9" width="16.7109375" customWidth="1"/>
    <col min="10" max="10" width="3.7109375" customWidth="1"/>
    <col min="11" max="12" width="17.7109375" customWidth="1"/>
    <col min="13" max="14" width="0" hidden="1" customWidth="1"/>
  </cols>
  <sheetData>
    <row r="1" spans="1:12">
      <c r="A1" s="1" t="s">
        <v>0</v>
      </c>
      <c r="B1" s="1"/>
      <c r="C1" s="1"/>
      <c r="D1" s="1"/>
      <c r="E1" s="1"/>
      <c r="F1" s="1"/>
      <c r="G1" s="1"/>
      <c r="H1" s="1"/>
      <c r="I1" s="1"/>
      <c r="J1" s="1"/>
      <c r="K1" s="1"/>
      <c r="L1" s="1"/>
    </row>
    <row r="2" spans="1:12">
      <c r="A2" s="2" t="s">
        <v>1</v>
      </c>
      <c r="B2" s="2"/>
      <c r="C2" s="2"/>
      <c r="D2" s="2"/>
      <c r="E2" s="2"/>
      <c r="F2" s="2"/>
      <c r="G2" s="2"/>
      <c r="H2" s="2"/>
      <c r="I2" s="2"/>
      <c r="J2" s="2"/>
      <c r="K2" s="2"/>
      <c r="L2" s="2"/>
    </row>
    <row r="3" spans="1:12">
      <c r="A3" s="3" t="s">
        <v>2</v>
      </c>
      <c r="B3" s="3"/>
      <c r="C3" s="3"/>
      <c r="D3" s="3"/>
      <c r="E3" s="3"/>
      <c r="F3" s="3"/>
      <c r="G3" s="3"/>
      <c r="H3" s="3"/>
      <c r="I3" s="3"/>
      <c r="J3" s="3"/>
      <c r="K3" s="3"/>
      <c r="L3" s="3"/>
    </row>
    <row r="4" spans="1:12">
      <c r="A4" s="3"/>
      <c r="B4" s="3"/>
      <c r="C4" s="3"/>
      <c r="D4" s="3"/>
      <c r="E4" s="3"/>
      <c r="F4" s="3"/>
      <c r="G4" s="3"/>
      <c r="H4" s="3"/>
      <c r="I4" s="3"/>
      <c r="J4" s="3"/>
      <c r="K4" s="3"/>
      <c r="L4" s="3"/>
    </row>
    <row r="5" spans="1:12">
      <c r="A5" s="3"/>
      <c r="B5" s="3"/>
      <c r="C5" s="3"/>
      <c r="D5" s="3"/>
      <c r="E5" s="3"/>
      <c r="F5" s="3"/>
      <c r="G5" s="3"/>
      <c r="H5" s="3"/>
      <c r="I5" s="3"/>
      <c r="J5" s="3"/>
      <c r="K5" s="3"/>
      <c r="L5" s="3"/>
    </row>
    <row r="7" spans="1:12">
      <c r="A7" s="4" t="s">
        <v>3</v>
      </c>
      <c r="B7" s="4"/>
      <c r="C7" s="4"/>
      <c r="G7" s="4" t="s">
        <v>34</v>
      </c>
      <c r="H7" s="4"/>
      <c r="I7" s="4"/>
      <c r="J7" s="4"/>
      <c r="K7" s="4"/>
      <c r="L7" s="4"/>
    </row>
    <row r="9" spans="1:12" ht="30" customHeight="1">
      <c r="B9" s="5" t="s">
        <v>4</v>
      </c>
      <c r="C9" s="6">
        <v>46053</v>
      </c>
      <c r="D9" s="7" t="s">
        <v>5</v>
      </c>
      <c r="E9" s="7"/>
      <c r="F9" s="7"/>
      <c r="G9" s="5" t="s">
        <v>35</v>
      </c>
      <c r="H9" s="8">
        <f>Engine!B9</f>
        <v>0</v>
      </c>
      <c r="I9" s="8"/>
    </row>
    <row r="10" spans="1:12" ht="30" customHeight="1">
      <c r="B10" s="5" t="s">
        <v>6</v>
      </c>
      <c r="C10" s="9">
        <v>65</v>
      </c>
      <c r="D10" s="7" t="s">
        <v>7</v>
      </c>
      <c r="E10" s="7"/>
      <c r="F10" s="7"/>
      <c r="G10" s="5" t="s">
        <v>36</v>
      </c>
      <c r="H10" s="10">
        <f>Engine!B12</f>
        <v>0</v>
      </c>
      <c r="I10" s="10"/>
    </row>
    <row r="11" spans="1:12" ht="30" customHeight="1">
      <c r="B11" s="5" t="s">
        <v>8</v>
      </c>
      <c r="C11" s="9" t="s">
        <v>9</v>
      </c>
      <c r="D11" s="7" t="s">
        <v>10</v>
      </c>
      <c r="E11" s="7"/>
      <c r="F11" s="7"/>
      <c r="G11" s="5" t="s">
        <v>37</v>
      </c>
      <c r="H11" s="11">
        <f>Engine!B13/100</f>
        <v>0</v>
      </c>
      <c r="I11" s="11"/>
    </row>
    <row r="12" spans="1:12" ht="30" customHeight="1">
      <c r="B12" s="5" t="s">
        <v>11</v>
      </c>
      <c r="C12" s="9" t="s">
        <v>12</v>
      </c>
      <c r="D12" s="7" t="s">
        <v>13</v>
      </c>
      <c r="E12" s="7"/>
      <c r="F12" s="7"/>
      <c r="G12" s="5" t="s">
        <v>38</v>
      </c>
      <c r="H12" s="12">
        <f>Engine!B14</f>
        <v>0</v>
      </c>
      <c r="I12" s="12"/>
    </row>
    <row r="13" spans="1:12" ht="30" customHeight="1">
      <c r="B13" s="5" t="s">
        <v>14</v>
      </c>
      <c r="C13" s="9" t="s">
        <v>15</v>
      </c>
      <c r="D13" s="7" t="s">
        <v>16</v>
      </c>
      <c r="E13" s="7"/>
      <c r="F13" s="7"/>
      <c r="G13" s="5" t="s">
        <v>39</v>
      </c>
      <c r="H13" s="13">
        <f>Engine!B15</f>
        <v>0</v>
      </c>
      <c r="I13" s="13"/>
    </row>
    <row r="14" spans="1:12" ht="30" customHeight="1">
      <c r="B14" s="5" t="s">
        <v>17</v>
      </c>
      <c r="C14" s="9" t="s">
        <v>18</v>
      </c>
      <c r="D14" s="7" t="s">
        <v>19</v>
      </c>
      <c r="E14" s="7"/>
      <c r="F14" s="7"/>
      <c r="G14" s="5" t="s">
        <v>40</v>
      </c>
      <c r="H14" s="14">
        <f>Engine!B17</f>
        <v>0</v>
      </c>
      <c r="I14" s="14"/>
    </row>
    <row r="15" spans="1:12" ht="30" customHeight="1">
      <c r="B15" s="5" t="s">
        <v>20</v>
      </c>
      <c r="C15" s="9">
        <v>170</v>
      </c>
      <c r="D15" s="7" t="s">
        <v>21</v>
      </c>
      <c r="E15" s="7"/>
      <c r="F15" s="7"/>
    </row>
    <row r="16" spans="1:12" ht="30" customHeight="1">
      <c r="B16" s="5" t="s">
        <v>22</v>
      </c>
      <c r="C16" s="9" t="s">
        <v>23</v>
      </c>
      <c r="D16" s="7" t="s">
        <v>24</v>
      </c>
      <c r="E16" s="7"/>
      <c r="F16" s="7"/>
      <c r="G16" s="5" t="s">
        <v>41</v>
      </c>
      <c r="H16" s="14">
        <f>Engine!B19</f>
        <v>0</v>
      </c>
      <c r="I16" s="14"/>
    </row>
    <row r="17" spans="1:14" ht="30" customHeight="1">
      <c r="B17" s="5" t="s">
        <v>25</v>
      </c>
      <c r="C17" s="9" t="s">
        <v>26</v>
      </c>
      <c r="D17" s="7" t="s">
        <v>27</v>
      </c>
      <c r="E17" s="7"/>
      <c r="F17" s="7"/>
      <c r="G17" s="5" t="s">
        <v>42</v>
      </c>
      <c r="H17" s="14">
        <f>Engine!B20</f>
        <v>0</v>
      </c>
      <c r="I17" s="14"/>
    </row>
    <row r="18" spans="1:14" ht="30" customHeight="1">
      <c r="B18" s="5" t="s">
        <v>28</v>
      </c>
      <c r="C18" s="9" t="s">
        <v>29</v>
      </c>
      <c r="D18" s="7" t="s">
        <v>30</v>
      </c>
      <c r="E18" s="7"/>
      <c r="F18" s="7"/>
    </row>
    <row r="20" spans="1:14">
      <c r="G20" s="15" t="s">
        <v>43</v>
      </c>
      <c r="H20" s="15"/>
      <c r="I20" s="15"/>
      <c r="K20" s="15" t="s">
        <v>44</v>
      </c>
      <c r="L20" s="15"/>
    </row>
    <row r="21" spans="1:14">
      <c r="A21" s="4" t="s">
        <v>31</v>
      </c>
      <c r="B21" s="4"/>
      <c r="C21" s="4"/>
      <c r="G21" s="16">
        <f>Engine!B25</f>
        <v>0</v>
      </c>
      <c r="H21" s="16"/>
      <c r="I21" s="16"/>
      <c r="K21" s="16">
        <f>Engine!D25</f>
        <v>0</v>
      </c>
      <c r="L21" s="16"/>
    </row>
    <row r="22" spans="1:14">
      <c r="B22" s="17" t="s">
        <v>32</v>
      </c>
      <c r="C22" s="17" t="s">
        <v>33</v>
      </c>
      <c r="G22" s="16"/>
      <c r="H22" s="16"/>
      <c r="I22" s="16"/>
      <c r="K22" s="16"/>
      <c r="L22" s="16"/>
    </row>
    <row r="23" spans="1:14">
      <c r="G23" s="5" t="s">
        <v>45</v>
      </c>
      <c r="H23" s="14">
        <f>Engine!B26</f>
        <v>0</v>
      </c>
      <c r="I23" s="14"/>
      <c r="K23" s="5" t="s">
        <v>45</v>
      </c>
      <c r="L23" s="14">
        <f>Engine!D26</f>
        <v>0</v>
      </c>
    </row>
    <row r="24" spans="1:14">
      <c r="B24" s="6">
        <v>45869</v>
      </c>
      <c r="C24" s="18">
        <v>80</v>
      </c>
      <c r="M24">
        <f>IF(AND(ISNUMBER(B24),ISNUMBER(C24),B24&lt;=$C$9,C24&gt;=25,C24&lt;=160),B24,0)</f>
        <v>0</v>
      </c>
      <c r="N24">
        <f>IF(AND(ISNUMBER(B24),ISNUMBER(C24),Engine!$B$8&lt;&gt;"",B24&lt;Engine!$B$8,B24&gt;=EDATE(Engine!$B$8,-6),C24&gt;=25,C24&lt;=160),B24,DATE(9999,12,31))</f>
        <v>0</v>
      </c>
    </row>
    <row r="25" spans="1:14">
      <c r="B25" s="6">
        <v>46053</v>
      </c>
      <c r="C25" s="18">
        <v>76</v>
      </c>
      <c r="G25" s="19">
        <f>"3m: "&amp;Engine!B27&amp;CHAR(10)&amp;"6m: "&amp;Engine!D27</f>
        <v>0</v>
      </c>
      <c r="H25" s="19"/>
      <c r="I25" s="19"/>
      <c r="J25" s="19"/>
      <c r="K25" s="19"/>
      <c r="L25" s="19"/>
      <c r="M25">
        <f>IF(AND(ISNUMBER(B25),ISNUMBER(C25),B25&lt;=$C$9,C25&gt;=25,C25&lt;=160),B25,0)</f>
        <v>0</v>
      </c>
      <c r="N25">
        <f>IF(AND(ISNUMBER(B25),ISNUMBER(C25),Engine!$B$8&lt;&gt;"",B25&lt;Engine!$B$8,B25&gt;=EDATE(Engine!$B$8,-6),C25&gt;=25,C25&lt;=160),B25,DATE(9999,12,31))</f>
        <v>0</v>
      </c>
    </row>
    <row r="26" spans="1:14">
      <c r="B26" s="6"/>
      <c r="C26" s="18"/>
      <c r="G26" s="19"/>
      <c r="H26" s="19"/>
      <c r="I26" s="19"/>
      <c r="J26" s="19"/>
      <c r="K26" s="19"/>
      <c r="L26" s="19"/>
      <c r="M26">
        <f>IF(AND(ISNUMBER(B26),ISNUMBER(C26),B26&lt;=$C$9,C26&gt;=25,C26&lt;=160),B26,0)</f>
        <v>0</v>
      </c>
      <c r="N26">
        <f>IF(AND(ISNUMBER(B26),ISNUMBER(C26),Engine!$B$8&lt;&gt;"",B26&lt;Engine!$B$8,B26&gt;=EDATE(Engine!$B$8,-6),C26&gt;=25,C26&lt;=160),B26,DATE(9999,12,31))</f>
        <v>0</v>
      </c>
    </row>
    <row r="27" spans="1:14">
      <c r="B27" s="6"/>
      <c r="C27" s="18"/>
      <c r="G27" s="19"/>
      <c r="H27" s="19"/>
      <c r="I27" s="19"/>
      <c r="J27" s="19"/>
      <c r="K27" s="19"/>
      <c r="L27" s="19"/>
      <c r="M27">
        <f>IF(AND(ISNUMBER(B27),ISNUMBER(C27),B27&lt;=$C$9,C27&gt;=25,C27&lt;=160),B27,0)</f>
        <v>0</v>
      </c>
      <c r="N27">
        <f>IF(AND(ISNUMBER(B27),ISNUMBER(C27),Engine!$B$8&lt;&gt;"",B27&lt;Engine!$B$8,B27&gt;=EDATE(Engine!$B$8,-6),C27&gt;=25,C27&lt;=160),B27,DATE(9999,12,31))</f>
        <v>0</v>
      </c>
    </row>
    <row r="28" spans="1:14">
      <c r="B28" s="6"/>
      <c r="C28" s="18"/>
      <c r="M28">
        <f>IF(AND(ISNUMBER(B28),ISNUMBER(C28),B28&lt;=$C$9,C28&gt;=25,C28&lt;=160),B28,0)</f>
        <v>0</v>
      </c>
      <c r="N28">
        <f>IF(AND(ISNUMBER(B28),ISNUMBER(C28),Engine!$B$8&lt;&gt;"",B28&lt;Engine!$B$8,B28&gt;=EDATE(Engine!$B$8,-6),C28&gt;=25,C28&lt;=160),B28,DATE(9999,12,31))</f>
        <v>0</v>
      </c>
    </row>
    <row r="29" spans="1:14">
      <c r="B29" s="6"/>
      <c r="C29" s="18"/>
      <c r="G29" s="20" t="s">
        <v>46</v>
      </c>
      <c r="H29" s="20"/>
      <c r="I29" s="20"/>
      <c r="J29" s="20"/>
      <c r="K29" s="20"/>
      <c r="L29" s="20"/>
      <c r="M29">
        <f>IF(AND(ISNUMBER(B29),ISNUMBER(C29),B29&lt;=$C$9,C29&gt;=25,C29&lt;=160),B29,0)</f>
        <v>0</v>
      </c>
      <c r="N29">
        <f>IF(AND(ISNUMBER(B29),ISNUMBER(C29),Engine!$B$8&lt;&gt;"",B29&lt;Engine!$B$8,B29&gt;=EDATE(Engine!$B$8,-6),C29&gt;=25,C29&lt;=160),B29,DATE(9999,12,31))</f>
        <v>0</v>
      </c>
    </row>
    <row r="30" spans="1:14">
      <c r="B30" s="6"/>
      <c r="C30" s="18"/>
      <c r="G30" s="20"/>
      <c r="H30" s="20"/>
      <c r="I30" s="20"/>
      <c r="J30" s="20"/>
      <c r="K30" s="20"/>
      <c r="L30" s="20"/>
      <c r="M30">
        <f>IF(AND(ISNUMBER(B30),ISNUMBER(C30),B30&lt;=$C$9,C30&gt;=25,C30&lt;=160),B30,0)</f>
        <v>0</v>
      </c>
      <c r="N30">
        <f>IF(AND(ISNUMBER(B30),ISNUMBER(C30),Engine!$B$8&lt;&gt;"",B30&lt;Engine!$B$8,B30&gt;=EDATE(Engine!$B$8,-6),C30&gt;=25,C30&lt;=160),B30,DATE(9999,12,31))</f>
        <v>0</v>
      </c>
    </row>
    <row r="31" spans="1:14">
      <c r="B31" s="6"/>
      <c r="C31" s="18"/>
      <c r="G31" s="20"/>
      <c r="H31" s="20"/>
      <c r="I31" s="20"/>
      <c r="J31" s="20"/>
      <c r="K31" s="20"/>
      <c r="L31" s="20"/>
      <c r="M31">
        <f>IF(AND(ISNUMBER(B31),ISNUMBER(C31),B31&lt;=$C$9,C31&gt;=25,C31&lt;=160),B31,0)</f>
        <v>0</v>
      </c>
      <c r="N31">
        <f>IF(AND(ISNUMBER(B31),ISNUMBER(C31),Engine!$B$8&lt;&gt;"",B31&lt;Engine!$B$8,B31&gt;=EDATE(Engine!$B$8,-6),C31&gt;=25,C31&lt;=160),B31,DATE(9999,12,31))</f>
        <v>0</v>
      </c>
    </row>
    <row r="32" spans="1:14">
      <c r="B32" s="6"/>
      <c r="C32" s="18"/>
      <c r="G32" s="20"/>
      <c r="H32" s="20"/>
      <c r="I32" s="20"/>
      <c r="J32" s="20"/>
      <c r="K32" s="20"/>
      <c r="L32" s="20"/>
      <c r="M32">
        <f>IF(AND(ISNUMBER(B32),ISNUMBER(C32),B32&lt;=$C$9,C32&gt;=25,C32&lt;=160),B32,0)</f>
        <v>0</v>
      </c>
      <c r="N32">
        <f>IF(AND(ISNUMBER(B32),ISNUMBER(C32),Engine!$B$8&lt;&gt;"",B32&lt;Engine!$B$8,B32&gt;=EDATE(Engine!$B$8,-6),C32&gt;=25,C32&lt;=160),B32,DATE(9999,12,31))</f>
        <v>0</v>
      </c>
    </row>
    <row r="33" spans="2:14">
      <c r="B33" s="6"/>
      <c r="C33" s="18"/>
      <c r="M33">
        <f>IF(AND(ISNUMBER(B33),ISNUMBER(C33),B33&lt;=$C$9,C33&gt;=25,C33&lt;=160),B33,0)</f>
        <v>0</v>
      </c>
      <c r="N33">
        <f>IF(AND(ISNUMBER(B33),ISNUMBER(C33),Engine!$B$8&lt;&gt;"",B33&lt;Engine!$B$8,B33&gt;=EDATE(Engine!$B$8,-6),C33&gt;=25,C33&lt;=160),B33,DATE(9999,12,31))</f>
        <v>0</v>
      </c>
    </row>
    <row r="39" spans="2:14">
      <c r="G39" s="21" t="s">
        <v>47</v>
      </c>
      <c r="H39" s="21"/>
      <c r="I39" s="21"/>
      <c r="J39" s="21"/>
      <c r="K39" s="21"/>
      <c r="L39" s="21"/>
    </row>
    <row r="40" spans="2:14">
      <c r="G40" s="21"/>
      <c r="H40" s="21"/>
      <c r="I40" s="21"/>
      <c r="J40" s="21"/>
      <c r="K40" s="21"/>
      <c r="L40" s="21"/>
    </row>
    <row r="41" spans="2:14">
      <c r="G41" s="21"/>
      <c r="H41" s="21"/>
      <c r="I41" s="21"/>
      <c r="J41" s="21"/>
      <c r="K41" s="21"/>
      <c r="L41" s="21"/>
    </row>
  </sheetData>
  <mergeCells count="32">
    <mergeCell ref="A1:L1"/>
    <mergeCell ref="A2:L2"/>
    <mergeCell ref="A3:L5"/>
    <mergeCell ref="A7:C7"/>
    <mergeCell ref="D9:F9"/>
    <mergeCell ref="D10:F10"/>
    <mergeCell ref="D11:F11"/>
    <mergeCell ref="D12:F12"/>
    <mergeCell ref="D13:F13"/>
    <mergeCell ref="D14:F14"/>
    <mergeCell ref="D15:F15"/>
    <mergeCell ref="D16:F16"/>
    <mergeCell ref="D17:F17"/>
    <mergeCell ref="D18:F18"/>
    <mergeCell ref="A21:C21"/>
    <mergeCell ref="G7:L7"/>
    <mergeCell ref="H9:I9"/>
    <mergeCell ref="H10:I10"/>
    <mergeCell ref="H11:I11"/>
    <mergeCell ref="H12:I12"/>
    <mergeCell ref="H13:I13"/>
    <mergeCell ref="H14:I14"/>
    <mergeCell ref="H16:I16"/>
    <mergeCell ref="H17:I17"/>
    <mergeCell ref="G20:I20"/>
    <mergeCell ref="K20:L20"/>
    <mergeCell ref="G21:I22"/>
    <mergeCell ref="K21:L22"/>
    <mergeCell ref="H23:I23"/>
    <mergeCell ref="G25:L27"/>
    <mergeCell ref="G29:L32"/>
    <mergeCell ref="G39:L41"/>
  </mergeCells>
  <dataValidations count="12">
    <dataValidation type="list" allowBlank="1" showInputMessage="1" showErrorMessage="1" errorTitle="Invalid category" error="Choose a value from the dropdown." promptTitle="Select a value" prompt="Unknown is distinct from no." sqref="C11">
      <formula1>"female,male,unknown"</formula1>
    </dataValidation>
    <dataValidation type="list" allowBlank="1" showInputMessage="1" showErrorMessage="1" errorTitle="Invalid category" error="Choose a value from the dropdown." promptTitle="Select a value" prompt="Unknown is distinct from no." sqref="C12">
      <formula1>"lung,colorectal,oesophageal,gastric,pancreatic,hepatobiliary,head and neck,breast,prostate,other solid tumour"</formula1>
    </dataValidation>
    <dataValidation type="list" allowBlank="1" showInputMessage="1" showErrorMessage="1" errorTitle="Invalid category" error="Choose a value from the dropdown." promptTitle="Select a value" prompt="Unknown is distinct from no." sqref="C14">
      <formula1>"I,II,III,IV,unknown"</formula1>
    </dataValidation>
    <dataValidation type="list" allowBlank="1" showInputMessage="1" showErrorMessage="1" errorTitle="Invalid category" error="Choose a value from the dropdown." promptTitle="Select a value" prompt="Unknown is distinct from no." sqref="C16">
      <formula1>"0,1,2,3,4,unknown"</formula1>
    </dataValidation>
    <dataValidation type="list" allowBlank="1" showInputMessage="1" showErrorMessage="1" errorTitle="Invalid category" error="Choose a value from the dropdown." promptTitle="Select a value" prompt="Unknown is distinct from no." sqref="C17">
      <formula1>"yes,no,unknown"</formula1>
    </dataValidation>
    <dataValidation type="list" allowBlank="1" showInputMessage="1" showErrorMessage="1" errorTitle="Invalid category" error="Choose a value from the dropdown." promptTitle="Select a value" prompt="Unknown is distinct from no." sqref="C18">
      <formula1>"yes,no,unknown"</formula1>
    </dataValidation>
    <dataValidation type="list" allowBlank="1" showInputMessage="1" showErrorMessage="1" errorTitle="Invalid subtype" error="Choose a value permitted for the selected cancer type." promptTitle="Lung subtype" prompt="SCLC, NSCLC or unknown for lung; otherwise not applicable." sqref="C13">
      <formula1>INDIRECT(IF($C$12="lung","LungSubtypeValues","NonLungSubtypeValues"))</formula1>
    </dataValidation>
    <dataValidation type="date" allowBlank="1" showInputMessage="1" showErrorMessage="1" errorTitle="Invalid date" error="Enter a valid prediction date." sqref="C9">
      <formula1>36526</formula1>
      <formula2>73415</formula2>
    </dataValidation>
    <dataValidation type="whole" allowBlank="1" showInputMessage="1" showErrorMessage="1" errorTitle="Invalid age" error="Enter an age from 18 to 95." sqref="C10">
      <formula1>18</formula1>
      <formula2>95</formula2>
    </dataValidation>
    <dataValidation type="decimal" allowBlank="1" showInputMessage="1" showErrorMessage="1" errorTitle="Invalid height" error="Enter a height from 140 to 200 cm." sqref="C15">
      <formula1>140</formula1>
      <formula2>200</formula2>
    </dataValidation>
    <dataValidation type="date" allowBlank="1" showInputMessage="1" showErrorMessage="1" errorTitle="Invalid date" error="Enter a valid date or clear the row." sqref="B24:B33">
      <formula1>36526</formula1>
      <formula2>73415</formula2>
    </dataValidation>
    <dataValidation type="decimal" allowBlank="1" showInputMessage="1" showErrorMessage="1" errorTitle="Invalid weight" error="Enter a weight from 25 to 160 kg." sqref="C24:C33">
      <formula1>25</formula1>
      <formula2>160</formula2>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sheetPr codeName="Sheet2"/>
  <dimension ref="A8:D27"/>
  <sheetViews>
    <sheetView workbookViewId="0"/>
  </sheetViews>
  <sheetFormatPr defaultRowHeight="15"/>
  <sheetData>
    <row r="8" spans="1:2">
      <c r="A8" t="s">
        <v>48</v>
      </c>
      <c r="B8">
        <f>IF(MAX('Mock UI'!$M$24:$M$33)=0,"",MAX('Mock UI'!$M$24:$M$33))</f>
        <v>0</v>
      </c>
    </row>
    <row r="9" spans="1:2">
      <c r="A9" t="s">
        <v>49</v>
      </c>
      <c r="B9">
        <f>IF(B8="","",IF(COUNTIFS('Mock UI'!$B$24:$B$33,B8,'Mock UI'!$C$24:$C$33,"&gt;=25",'Mock UI'!$C$24:$C$33,"&lt;=160")&lt;&gt;1,"",SUMIFS('Mock UI'!$C$24:$C$33,'Mock UI'!$B$24:$B$33,B8,'Mock UI'!$C$24:$C$33,"&gt;=25",'Mock UI'!$C$24:$C$33,"&lt;=160")))</f>
        <v>0</v>
      </c>
    </row>
    <row r="10" spans="1:2">
      <c r="A10" t="s">
        <v>50</v>
      </c>
      <c r="B10">
        <f>IF(OR(B8="",MIN('Mock UI'!$N$24:$N$33)=DATE(9999,12,31)),"",MIN('Mock UI'!$N$24:$N$33))</f>
        <v>0</v>
      </c>
    </row>
    <row r="11" spans="1:2">
      <c r="A11" t="s">
        <v>51</v>
      </c>
      <c r="B11">
        <f>IF(B10="","",IF(COUNTIFS('Mock UI'!$B$24:$B$33,B10,'Mock UI'!$C$24:$C$33,"&gt;=25",'Mock UI'!$C$24:$C$33,"&lt;=160")&lt;&gt;1,"",SUMIFS('Mock UI'!$C$24:$C$33,'Mock UI'!$B$24:$B$33,B10,'Mock UI'!$C$24:$C$33,"&gt;=25",'Mock UI'!$C$24:$C$33,"&lt;=160")))</f>
        <v>0</v>
      </c>
    </row>
    <row r="12" spans="1:2">
      <c r="A12" t="s">
        <v>52</v>
      </c>
      <c r="B12">
        <f>IF(OR(B9="",'Mock UI'!C15=""),"",B9/('Mock UI'!C15/100)^2)</f>
        <v>0</v>
      </c>
    </row>
    <row r="13" spans="1:2">
      <c r="A13" t="s">
        <v>53</v>
      </c>
      <c r="B13">
        <f>IF(OR(B9="",B11=""),"",((B11-B9)/B11)*100)</f>
        <v>0</v>
      </c>
    </row>
    <row r="14" spans="1:2">
      <c r="A14" t="s">
        <v>54</v>
      </c>
      <c r="B14">
        <f>IF(OR(B8="",B10=""),"",B8-B10)</f>
        <v>0</v>
      </c>
    </row>
    <row r="15" spans="1:2">
      <c r="A15" t="s">
        <v>55</v>
      </c>
      <c r="B15">
        <f>IF(OR(B9="",B11="",B14&lt;=0),"",(B11-B9)/(B14/Assumptions!$B$8))</f>
        <v>0</v>
      </c>
    </row>
    <row r="16" spans="1:2">
      <c r="A16" t="s">
        <v>56</v>
      </c>
      <c r="B16">
        <f>IF(OR(B13="",B14&lt;=0),"",B13/(B14/Assumptions!$B$8))</f>
        <v>0</v>
      </c>
    </row>
    <row r="17" spans="1:4">
      <c r="A17" t="s">
        <v>40</v>
      </c>
      <c r="B17">
        <f>IF(B13="","unknown",IF(B13&gt;Assumptions!$B$9,"loss",IF(B13&lt;-Assumptions!$B$9,"gain","stable")))</f>
        <v>0</v>
      </c>
    </row>
    <row r="19" spans="1:4">
      <c r="A19" t="s">
        <v>41</v>
      </c>
      <c r="B19">
        <f>IF(B13="","unknown",IF(B13&gt;Assumptions!$B$10,"yes",IF(B13&lt;=Assumptions!$B$11,"no",IF(AND(B12&lt;&gt;"",B12&lt;Assumptions!$B$12),"yes",IF('Mock UI'!C18="yes","yes",IF(AND(B12&lt;&gt;"",B12&gt;=Assumptions!$B$12,'Mock UI'!C18="no"),"no","unknown"))))))</f>
        <v>0</v>
      </c>
    </row>
    <row r="20" spans="1:4">
      <c r="A20" t="s">
        <v>42</v>
      </c>
      <c r="B20">
        <f>IF(B19="unknown","unknown",IF(B19="yes","no",IF(OR(B13&lt;=Assumptions!$B$13,B13&gt;Assumptions!$B$14),"no",IF('Mock UI'!C17="yes","yes",IF('Mock UI'!C17="no","no","unknown")))))</f>
        <v>0</v>
      </c>
    </row>
    <row r="23" spans="1:4">
      <c r="A23" t="s">
        <v>57</v>
      </c>
      <c r="B23" t="s">
        <v>58</v>
      </c>
      <c r="D23" t="s">
        <v>59</v>
      </c>
    </row>
    <row r="24" spans="1:4">
      <c r="B24">
        <f>IF(OR(B12="",B13=""),"",Assumptions!$B$20+IF('Mock UI'!C10&gt;Assumptions!$B$15,Assumptions!$B$21,0)+VLOOKUP('Mock UI'!C14,Assumptions!$H$8:$J$12,2,FALSE)+VLOOKUP('Mock UI'!C16&amp;"",Assumptions!$L$8:$N$13,2,FALSE)+VLOOKUP('Mock UI'!C17,Assumptions!$P$8:$R$10,2,FALSE)+MAX(0,N(B13))*Assumptions!$B$22+IF(AND(B12&lt;&gt;"",B12&lt;Assumptions!$B$12),Assumptions!$B$23,0)+(VLOOKUP('Mock UI'!C12,Assumptions!$E$8:$F$17,2,FALSE)-1)*Assumptions!$B$24)</f>
        <v>0</v>
      </c>
      <c r="D24">
        <f>IF(OR(B12="",B13=""),"",Assumptions!$B$25+IF('Mock UI'!C10&gt;Assumptions!$B$15,Assumptions!$B$26,0)+VLOOKUP('Mock UI'!C14,Assumptions!$H$8:$J$12,3,FALSE)+VLOOKUP('Mock UI'!C16&amp;"",Assumptions!$L$8:$N$13,3,FALSE)+VLOOKUP('Mock UI'!C17,Assumptions!$P$8:$R$10,3,FALSE)+MAX(0,N(B13))*Assumptions!$B$27+IF(AND(B12&lt;&gt;"",B12&lt;Assumptions!$B$12),Assumptions!$B$28,0)+(VLOOKUP('Mock UI'!C12,Assumptions!$E$8:$F$17,2,FALSE)-1)*Assumptions!$B$29)</f>
        <v>0</v>
      </c>
    </row>
    <row r="25" spans="1:4">
      <c r="B25">
        <f>IF(B24="","",1/(1+EXP(-B24)))</f>
        <v>0</v>
      </c>
      <c r="D25">
        <f>IF(D24="","",1/(1+EXP(-D24)))</f>
        <v>0</v>
      </c>
    </row>
    <row r="26" spans="1:4">
      <c r="B26">
        <f>IF(B25="","unknown",IF(B25&lt;Assumptions!$B$16,"low",IF(B25&gt;=Assumptions!$B$17,"high","medium")))</f>
        <v>0</v>
      </c>
      <c r="D26">
        <f>IF(D25="","unknown",IF(D25&lt;Assumptions!$B$16,"low",IF(D25&gt;=Assumptions!$B$17,"high","medium")))</f>
        <v>0</v>
      </c>
    </row>
    <row r="27" spans="1:4">
      <c r="B27">
        <f>IF(OR(B12="",B13=""),"Estimate withheld: BMI and baseline weight change are required.",TRIM(IF('Mock UI'!C10&gt;Assumptions!$B$15,"age &gt;55; ","")&amp;IF(B13&gt;0,"baseline loss "&amp;TEXT(B13,"0.0")&amp;"%; ","")&amp;IF(AND(B12&lt;&gt;"",B12&lt;Assumptions!$B$12),"BMI &lt;20; ","")&amp;"stage "&amp;'Mock UI'!C14&amp;"; ECOG "&amp;'Mock UI'!C16&amp;"; appetite="&amp;'Mock UI'!C17&amp;"; "&amp;'Mock UI'!C12))</f>
        <v>0</v>
      </c>
      <c r="D27">
        <f>IF(OR(B12="",B13=""),"Estimate withheld: BMI and baseline weight change are required.",TRIM(IF('Mock UI'!C10&gt;Assumptions!$B$15,"age &gt;55; ","")&amp;IF(B13&gt;0,"baseline loss "&amp;TEXT(B13,"0.0")&amp;"%; ","")&amp;IF(AND(B12&lt;&gt;"",B12&lt;Assumptions!$B$12),"BMI &lt;20; ","")&amp;"stage "&amp;'Mock UI'!C14&amp;"; ECOG "&amp;'Mock UI'!C16&amp;"; appetite="&amp;'Mock UI'!C17&amp;"; "&amp;'Mock UI'!C12))</f>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3"/>
  <dimension ref="A8:U29"/>
  <sheetViews>
    <sheetView workbookViewId="0"/>
  </sheetViews>
  <sheetFormatPr defaultRowHeight="15"/>
  <sheetData>
    <row r="8" spans="1:21">
      <c r="A8" t="s">
        <v>60</v>
      </c>
      <c r="B8">
        <v>30.4375</v>
      </c>
      <c r="E8" t="s">
        <v>12</v>
      </c>
      <c r="F8">
        <v>1.6</v>
      </c>
      <c r="H8" t="s">
        <v>91</v>
      </c>
      <c r="I8">
        <v>0</v>
      </c>
      <c r="J8">
        <v>0</v>
      </c>
      <c r="L8" t="s">
        <v>94</v>
      </c>
      <c r="M8">
        <v>-0.3</v>
      </c>
      <c r="N8">
        <v>-0.25</v>
      </c>
      <c r="P8" t="s">
        <v>98</v>
      </c>
      <c r="Q8">
        <v>0.75</v>
      </c>
      <c r="R8">
        <v>0.8</v>
      </c>
      <c r="T8" t="s">
        <v>99</v>
      </c>
      <c r="U8" t="s">
        <v>100</v>
      </c>
    </row>
    <row r="9" spans="1:21">
      <c r="A9" t="s">
        <v>61</v>
      </c>
      <c r="B9">
        <v>0.5</v>
      </c>
      <c r="E9" t="s">
        <v>82</v>
      </c>
      <c r="F9">
        <v>1.3</v>
      </c>
      <c r="H9" t="s">
        <v>92</v>
      </c>
      <c r="I9">
        <v>0.2</v>
      </c>
      <c r="J9">
        <v>0.2</v>
      </c>
      <c r="L9" t="s">
        <v>95</v>
      </c>
      <c r="M9">
        <v>0</v>
      </c>
      <c r="N9">
        <v>0</v>
      </c>
      <c r="P9" t="s">
        <v>26</v>
      </c>
      <c r="Q9">
        <v>0</v>
      </c>
      <c r="R9">
        <v>0</v>
      </c>
      <c r="T9" t="s">
        <v>15</v>
      </c>
    </row>
    <row r="10" spans="1:21">
      <c r="A10" t="s">
        <v>62</v>
      </c>
      <c r="B10">
        <v>5</v>
      </c>
      <c r="E10" t="s">
        <v>83</v>
      </c>
      <c r="F10">
        <v>1.8</v>
      </c>
      <c r="H10" t="s">
        <v>18</v>
      </c>
      <c r="I10">
        <v>0.5</v>
      </c>
      <c r="J10">
        <v>0.5</v>
      </c>
      <c r="L10" t="s">
        <v>23</v>
      </c>
      <c r="M10">
        <v>0.35</v>
      </c>
      <c r="N10">
        <v>0.4</v>
      </c>
      <c r="P10" t="s">
        <v>29</v>
      </c>
      <c r="Q10">
        <v>0.15</v>
      </c>
      <c r="R10">
        <v>0.15</v>
      </c>
      <c r="T10" t="s">
        <v>29</v>
      </c>
    </row>
    <row r="11" spans="1:21">
      <c r="A11" t="s">
        <v>63</v>
      </c>
      <c r="B11">
        <v>2</v>
      </c>
      <c r="E11" t="s">
        <v>84</v>
      </c>
      <c r="F11">
        <v>1.8</v>
      </c>
      <c r="H11" t="s">
        <v>93</v>
      </c>
      <c r="I11">
        <v>1</v>
      </c>
      <c r="J11">
        <v>1</v>
      </c>
      <c r="L11" t="s">
        <v>96</v>
      </c>
      <c r="M11">
        <v>0.7</v>
      </c>
      <c r="N11">
        <v>0.8</v>
      </c>
    </row>
    <row r="12" spans="1:21">
      <c r="A12" t="s">
        <v>64</v>
      </c>
      <c r="B12">
        <v>20</v>
      </c>
      <c r="E12" t="s">
        <v>85</v>
      </c>
      <c r="F12">
        <v>2</v>
      </c>
      <c r="H12" t="s">
        <v>29</v>
      </c>
      <c r="I12">
        <v>0</v>
      </c>
      <c r="J12">
        <v>0</v>
      </c>
      <c r="L12" t="s">
        <v>97</v>
      </c>
      <c r="M12">
        <v>1</v>
      </c>
      <c r="N12">
        <v>1.1</v>
      </c>
    </row>
    <row r="13" spans="1:21">
      <c r="A13" t="s">
        <v>65</v>
      </c>
      <c r="B13">
        <v>1</v>
      </c>
      <c r="E13" t="s">
        <v>86</v>
      </c>
      <c r="F13">
        <v>2</v>
      </c>
      <c r="L13" t="s">
        <v>29</v>
      </c>
      <c r="M13">
        <v>0</v>
      </c>
      <c r="N13">
        <v>0</v>
      </c>
    </row>
    <row r="14" spans="1:21">
      <c r="A14" t="s">
        <v>66</v>
      </c>
      <c r="B14">
        <v>5</v>
      </c>
      <c r="E14" t="s">
        <v>87</v>
      </c>
      <c r="F14">
        <v>1.6</v>
      </c>
    </row>
    <row r="15" spans="1:21">
      <c r="A15" t="s">
        <v>67</v>
      </c>
      <c r="B15">
        <v>55</v>
      </c>
      <c r="E15" t="s">
        <v>88</v>
      </c>
      <c r="F15">
        <v>1</v>
      </c>
    </row>
    <row r="16" spans="1:21">
      <c r="A16" t="s">
        <v>68</v>
      </c>
      <c r="B16">
        <v>0.3</v>
      </c>
      <c r="E16" t="s">
        <v>89</v>
      </c>
      <c r="F16">
        <v>1</v>
      </c>
    </row>
    <row r="17" spans="1:6">
      <c r="A17" t="s">
        <v>69</v>
      </c>
      <c r="B17">
        <v>0.6</v>
      </c>
      <c r="E17" t="s">
        <v>90</v>
      </c>
      <c r="F17">
        <v>1</v>
      </c>
    </row>
    <row r="18" spans="1:6">
      <c r="A18" t="s">
        <v>70</v>
      </c>
      <c r="B18">
        <v>25</v>
      </c>
    </row>
    <row r="19" spans="1:6">
      <c r="A19" t="s">
        <v>71</v>
      </c>
      <c r="B19">
        <v>160</v>
      </c>
    </row>
    <row r="20" spans="1:6">
      <c r="A20" t="s">
        <v>72</v>
      </c>
      <c r="B20">
        <v>-2</v>
      </c>
    </row>
    <row r="21" spans="1:6">
      <c r="A21" t="s">
        <v>73</v>
      </c>
      <c r="B21">
        <v>0.25</v>
      </c>
    </row>
    <row r="22" spans="1:6">
      <c r="A22" t="s">
        <v>74</v>
      </c>
      <c r="B22">
        <v>0.13</v>
      </c>
    </row>
    <row r="23" spans="1:6">
      <c r="A23" t="s">
        <v>75</v>
      </c>
      <c r="B23">
        <v>0.45</v>
      </c>
    </row>
    <row r="24" spans="1:6">
      <c r="A24" t="s">
        <v>76</v>
      </c>
      <c r="B24">
        <v>1</v>
      </c>
    </row>
    <row r="25" spans="1:6">
      <c r="A25" t="s">
        <v>77</v>
      </c>
      <c r="B25">
        <v>-1.45</v>
      </c>
    </row>
    <row r="26" spans="1:6">
      <c r="A26" t="s">
        <v>78</v>
      </c>
      <c r="B26">
        <v>0.3</v>
      </c>
    </row>
    <row r="27" spans="1:6">
      <c r="A27" t="s">
        <v>79</v>
      </c>
      <c r="B27">
        <v>0.15</v>
      </c>
    </row>
    <row r="28" spans="1:6">
      <c r="A28" t="s">
        <v>80</v>
      </c>
      <c r="B28">
        <v>0.5</v>
      </c>
    </row>
    <row r="29" spans="1:6">
      <c r="A29" t="s">
        <v>81</v>
      </c>
      <c r="B29">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G14"/>
  <sheetViews>
    <sheetView showGridLines="0" workbookViewId="0"/>
  </sheetViews>
  <sheetFormatPr defaultRowHeight="15"/>
  <cols>
    <col min="1" max="1" width="14.7109375" customWidth="1"/>
    <col min="2" max="2" width="58.7109375" customWidth="1"/>
    <col min="3" max="3" width="24.7109375" customWidth="1"/>
    <col min="4" max="4" width="22.7109375" customWidth="1"/>
    <col min="5" max="6" width="40.7109375" customWidth="1"/>
    <col min="7" max="7" width="18.7109375" customWidth="1"/>
  </cols>
  <sheetData>
    <row r="1" spans="1:7">
      <c r="A1" s="1" t="s">
        <v>101</v>
      </c>
      <c r="B1" s="1"/>
      <c r="C1" s="1"/>
      <c r="D1" s="1"/>
      <c r="E1" s="1"/>
      <c r="F1" s="1"/>
      <c r="G1" s="1"/>
    </row>
    <row r="2" spans="1:7">
      <c r="A2" s="2" t="s">
        <v>102</v>
      </c>
      <c r="B2" s="2"/>
      <c r="C2" s="2"/>
      <c r="D2" s="2"/>
      <c r="E2" s="2"/>
      <c r="F2" s="2"/>
      <c r="G2" s="2"/>
    </row>
    <row r="4" spans="1:7">
      <c r="A4" s="3" t="s">
        <v>103</v>
      </c>
      <c r="B4" s="3"/>
      <c r="C4" s="3"/>
      <c r="D4" s="3"/>
      <c r="E4" s="3"/>
      <c r="F4" s="3"/>
      <c r="G4" s="3"/>
    </row>
    <row r="5" spans="1:7">
      <c r="A5" s="3"/>
      <c r="B5" s="3"/>
      <c r="C5" s="3"/>
      <c r="D5" s="3"/>
      <c r="E5" s="3"/>
      <c r="F5" s="3"/>
      <c r="G5" s="3"/>
    </row>
    <row r="7" spans="1:7">
      <c r="A7" s="17" t="s">
        <v>104</v>
      </c>
      <c r="B7" s="17" t="s">
        <v>105</v>
      </c>
      <c r="C7" s="17" t="s">
        <v>106</v>
      </c>
      <c r="D7" s="17" t="s">
        <v>107</v>
      </c>
      <c r="E7" s="17" t="s">
        <v>108</v>
      </c>
      <c r="F7" s="17" t="s">
        <v>109</v>
      </c>
      <c r="G7" s="17" t="s">
        <v>110</v>
      </c>
    </row>
    <row r="8" spans="1:7">
      <c r="A8" t="s">
        <v>111</v>
      </c>
      <c r="B8" t="s">
        <v>112</v>
      </c>
      <c r="C8" t="s">
        <v>113</v>
      </c>
      <c r="D8" s="22" t="s">
        <v>114</v>
      </c>
      <c r="E8" s="22"/>
      <c r="F8" s="22"/>
      <c r="G8" s="22"/>
    </row>
    <row r="9" spans="1:7">
      <c r="A9" t="s">
        <v>115</v>
      </c>
      <c r="B9" t="s">
        <v>116</v>
      </c>
      <c r="C9" t="s">
        <v>113</v>
      </c>
      <c r="D9" s="22" t="s">
        <v>114</v>
      </c>
      <c r="E9" s="22"/>
      <c r="F9" s="22"/>
      <c r="G9" s="22"/>
    </row>
    <row r="10" spans="1:7">
      <c r="A10" t="s">
        <v>117</v>
      </c>
      <c r="B10" t="s">
        <v>118</v>
      </c>
      <c r="C10" t="s">
        <v>113</v>
      </c>
      <c r="D10" s="22" t="s">
        <v>114</v>
      </c>
      <c r="E10" s="22"/>
      <c r="F10" s="22"/>
      <c r="G10" s="22"/>
    </row>
    <row r="11" spans="1:7">
      <c r="A11" t="s">
        <v>119</v>
      </c>
      <c r="B11" t="s">
        <v>120</v>
      </c>
      <c r="C11" t="s">
        <v>113</v>
      </c>
      <c r="D11" s="22" t="s">
        <v>114</v>
      </c>
      <c r="E11" s="22"/>
      <c r="F11" s="22"/>
      <c r="G11" s="22"/>
    </row>
    <row r="12" spans="1:7">
      <c r="A12" t="s">
        <v>121</v>
      </c>
      <c r="B12" t="s">
        <v>122</v>
      </c>
      <c r="C12" t="s">
        <v>113</v>
      </c>
      <c r="D12" s="22" t="s">
        <v>114</v>
      </c>
      <c r="E12" s="22"/>
      <c r="F12" s="22"/>
      <c r="G12" s="22"/>
    </row>
    <row r="13" spans="1:7">
      <c r="A13" t="s">
        <v>123</v>
      </c>
      <c r="B13" t="s">
        <v>124</v>
      </c>
      <c r="C13" t="s">
        <v>113</v>
      </c>
      <c r="D13" s="22" t="s">
        <v>114</v>
      </c>
      <c r="E13" s="22"/>
      <c r="F13" s="22"/>
      <c r="G13" s="22"/>
    </row>
    <row r="14" spans="1:7">
      <c r="A14" t="s">
        <v>125</v>
      </c>
      <c r="B14" t="s">
        <v>126</v>
      </c>
      <c r="C14" t="s">
        <v>113</v>
      </c>
      <c r="D14" s="22" t="s">
        <v>114</v>
      </c>
      <c r="E14" s="22"/>
      <c r="F14" s="22"/>
      <c r="G14" s="22"/>
    </row>
  </sheetData>
  <mergeCells count="3">
    <mergeCell ref="A1:G1"/>
    <mergeCell ref="A2:G2"/>
    <mergeCell ref="A4:G5"/>
  </mergeCells>
  <dataValidations count="1">
    <dataValidation type="list" allowBlank="1" showInputMessage="1" showErrorMessage="1" sqref="D8:D14">
      <formula1>"pending,approved,rejected,revision_requested"</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Mock UI</vt:lpstr>
      <vt:lpstr>Engine</vt:lpstr>
      <vt:lpstr>Assumptions</vt:lpstr>
      <vt:lpstr>Clinical Review</vt:lpstr>
      <vt:lpstr>LungSubtypeValues</vt:lpstr>
      <vt:lpstr>NonLungSubtypeValues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Synthetic cachexia risk mock UI</dc:title>
  <dc:subject>Research-only synthetic proof of concept</dc:subject>
  <dc:creator/>
  <dc:description>Not clinically validated. Do not use for medical decisions.</dc:description>
  <cp:lastModifiedBy/>
  <dcterms:created xsi:type="dcterms:W3CDTF">2026-08-20T13:01:15Z</dcterms:created>
  <dcterms:modified xsi:type="dcterms:W3CDTF">2026-08-20T13:01:15Z</dcterms:modified>
</cp:coreProperties>
</file>