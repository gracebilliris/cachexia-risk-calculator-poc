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START HERE" sheetId="1" state="hidden" r:id="rId1"/>
    <sheet xmlns:r="http://schemas.openxmlformats.org/officeDocument/2006/relationships" name="Calculator" sheetId="2" state="visible" r:id="rId2"/>
    <sheet xmlns:r="http://schemas.openxmlformats.org/officeDocument/2006/relationships" name="Results" sheetId="3" state="hidden" r:id="rId3"/>
    <sheet xmlns:r="http://schemas.openxmlformats.org/officeDocument/2006/relationships" name="Assumptions" sheetId="4" state="hidden" r:id="rId4"/>
    <sheet xmlns:r="http://schemas.openxmlformats.org/officeDocument/2006/relationships" name="Synthetic Cohort" sheetId="5" state="hidden" r:id="rId5"/>
    <sheet xmlns:r="http://schemas.openxmlformats.org/officeDocument/2006/relationships" name="Data Dictionary" sheetId="6" state="hidden" r:id="rId6"/>
    <sheet xmlns:r="http://schemas.openxmlformats.org/officeDocument/2006/relationships" name="Clinical Review" sheetId="7" state="visible" r:id="rId7"/>
  </sheets>
  <definedNames/>
  <calcPr calcId="124519" fullCalcOnLoad="0" forceFullCalc="0"/>
</workbook>
</file>

<file path=xl/styles.xml><?xml version="1.0" encoding="utf-8"?>
<styleSheet xmlns="http://schemas.openxmlformats.org/spreadsheetml/2006/main">
  <numFmts count="4">
    <numFmt numFmtId="164" formatCode="yyyy-mm-dd"/>
    <numFmt numFmtId="165" formatCode="0.00 &quot;kg&quot;"/>
    <numFmt numFmtId="166" formatCode="0 &quot;days&quot;"/>
    <numFmt numFmtId="167" formatCode="0.00 &quot;kg/month&quot;"/>
  </numFmts>
  <fonts count="8">
    <font>
      <name val="Calibri"/>
      <family val="2"/>
      <color theme="1"/>
      <sz val="11"/>
      <scheme val="minor"/>
    </font>
    <font>
      <b val="1"/>
      <color rgb="00FFFFFF"/>
      <sz val="20"/>
    </font>
    <font>
      <i val="1"/>
      <color rgb="0044545B"/>
    </font>
    <font>
      <b val="1"/>
      <color rgb="007A2F12"/>
    </font>
    <font>
      <b val="1"/>
      <color rgb="00006D71"/>
      <sz val="13"/>
    </font>
    <font>
      <b val="1"/>
      <color rgb="00FFFFFF"/>
      <sz val="15"/>
    </font>
    <font>
      <b val="1"/>
    </font>
    <font>
      <b val="1"/>
      <color rgb="00FFFFFF"/>
    </font>
  </fonts>
  <fills count="6">
    <fill>
      <patternFill/>
    </fill>
    <fill>
      <patternFill patternType="gray125"/>
    </fill>
    <fill>
      <patternFill patternType="solid">
        <fgColor rgb="0017324D"/>
      </patternFill>
    </fill>
    <fill>
      <patternFill patternType="solid">
        <fgColor rgb="00FFF1E9"/>
      </patternFill>
    </fill>
    <fill>
      <patternFill patternType="solid">
        <fgColor rgb="00DDEFEF"/>
      </patternFill>
    </fill>
    <fill>
      <patternFill patternType="solid">
        <fgColor rgb="00006D71"/>
      </patternFill>
    </fill>
  </fills>
  <borders count="2">
    <border>
      <left/>
      <right/>
      <top/>
      <bottom/>
      <diagonal/>
    </border>
    <border>
      <left style="thin">
        <color rgb="00B7C4C8"/>
      </left>
      <right style="thin">
        <color rgb="00B7C4C8"/>
      </right>
      <top style="thin">
        <color rgb="00B7C4C8"/>
      </top>
      <bottom style="thin">
        <color rgb="00B7C4C8"/>
      </bottom>
    </border>
  </borders>
  <cellStyleXfs count="1">
    <xf numFmtId="0" fontId="0" fillId="0" borderId="0"/>
  </cellStyleXfs>
  <cellXfs count="23">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3" fillId="3" borderId="1" applyAlignment="1" pivotButton="0" quotePrefix="0" xfId="0">
      <alignment vertical="center" wrapText="1"/>
    </xf>
    <xf numFmtId="0" fontId="0" fillId="0" borderId="0" applyAlignment="1" pivotButton="0" quotePrefix="0" xfId="0">
      <alignment vertical="top" wrapText="1"/>
    </xf>
    <xf numFmtId="0" fontId="7" fillId="5" borderId="0" applyAlignment="1" pivotButton="0" quotePrefix="0" xfId="0">
      <alignment vertical="top" wrapText="1"/>
    </xf>
    <xf numFmtId="164" fontId="0" fillId="4" borderId="1" applyAlignment="1" pivotButton="0" quotePrefix="0" xfId="0">
      <alignment vertical="top" wrapText="1"/>
    </xf>
    <xf numFmtId="0" fontId="5" fillId="5" borderId="0" applyAlignment="1" pivotButton="0" quotePrefix="0" xfId="0">
      <alignment vertical="top" wrapText="1"/>
    </xf>
    <xf numFmtId="0" fontId="0" fillId="4" borderId="1" applyAlignment="1" pivotButton="0" quotePrefix="0" xfId="0">
      <alignment vertical="top" wrapText="1"/>
    </xf>
    <xf numFmtId="0" fontId="6" fillId="0" borderId="0" applyAlignment="1" pivotButton="0" quotePrefix="0" xfId="0">
      <alignment vertical="top" wrapText="1"/>
    </xf>
    <xf numFmtId="165" fontId="0" fillId="4" borderId="0" applyAlignment="1" pivotButton="0" quotePrefix="0" xfId="0">
      <alignment vertical="top" wrapText="1"/>
    </xf>
    <xf numFmtId="0" fontId="0" fillId="4" borderId="0" applyAlignment="1" pivotButton="0" quotePrefix="0" xfId="0">
      <alignment vertical="top" wrapText="1"/>
    </xf>
    <xf numFmtId="2" fontId="0" fillId="4" borderId="0" applyAlignment="1" pivotButton="0" quotePrefix="0" xfId="0">
      <alignment vertical="top" wrapText="1"/>
    </xf>
    <xf numFmtId="10" fontId="0" fillId="4" borderId="0" applyAlignment="1" pivotButton="0" quotePrefix="0" xfId="0">
      <alignment vertical="top" wrapText="1"/>
    </xf>
    <xf numFmtId="166" fontId="0" fillId="4" borderId="0" applyAlignment="1" pivotButton="0" quotePrefix="0" xfId="0">
      <alignment vertical="top" wrapText="1"/>
    </xf>
    <xf numFmtId="167" fontId="0" fillId="4" borderId="0" applyAlignment="1" pivotButton="0" quotePrefix="0" xfId="0">
      <alignment vertical="top" wrapText="1"/>
    </xf>
    <xf numFmtId="0" fontId="4" fillId="0" borderId="0" applyAlignment="1" pivotButton="0" quotePrefix="0" xfId="0">
      <alignment vertical="top" wrapText="1"/>
    </xf>
    <xf numFmtId="0" fontId="0" fillId="3" borderId="1" applyAlignment="1" pivotButton="0" quotePrefix="0" xfId="0">
      <alignment vertical="top" wrapText="1"/>
    </xf>
    <xf numFmtId="164" fontId="0" fillId="4" borderId="0" applyAlignment="1" pivotButton="0" quotePrefix="0" xfId="0">
      <alignment vertical="top" wrapText="1"/>
    </xf>
    <xf numFmtId="164" fontId="7" fillId="5" borderId="0" applyAlignment="1" pivotButton="0" quotePrefix="0" xfId="0">
      <alignment vertical="top" wrapText="1"/>
    </xf>
    <xf numFmtId="164" fontId="0" fillId="4" borderId="0" pivotButton="0" quotePrefix="0" xfId="0"/>
    <xf numFmtId="0" fontId="0" fillId="4"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0" customWidth="1" min="1" max="1"/>
    <col width="95" customWidth="1" min="2" max="2"/>
  </cols>
  <sheetData>
    <row r="1" ht="32" customHeight="1">
      <c r="A1" s="1" t="inlineStr">
        <is>
          <t>Synthetic cachexia simulation workbook</t>
        </is>
      </c>
    </row>
    <row r="2" ht="34" customHeight="1">
      <c r="A2" s="2" t="inlineStr">
        <is>
          <t>Interactive, macro-free clinical review prototype.</t>
        </is>
      </c>
    </row>
    <row r="3"/>
    <row r="4" ht="34" customHeight="1">
      <c r="A4" s="3" t="inlineStr">
        <is>
          <t>NOT FOR CLINICAL USE. All patients and outputs are synthetic. Category relationships are simulation assumptions, not clinically validated effects. Do not use for diagnosis, prognosis, treatment, patient care, or medical decisions.</t>
        </is>
      </c>
    </row>
    <row r="5"/>
    <row r="6"/>
    <row r="7"/>
    <row r="8">
      <c r="A8" s="4" t="inlineStr">
        <is>
          <t>Step</t>
        </is>
      </c>
      <c r="B8" s="4" t="inlineStr">
        <is>
          <t>Action</t>
        </is>
      </c>
    </row>
    <row r="9">
      <c r="A9" s="4" t="inlineStr">
        <is>
          <t>1</t>
        </is>
      </c>
      <c r="B9" s="4" t="inlineStr">
        <is>
          <t>Open Calculator and change only blue input cells.</t>
        </is>
      </c>
    </row>
    <row r="10">
      <c r="A10" s="4" t="inlineStr">
        <is>
          <t>2</t>
        </is>
      </c>
      <c r="B10" s="4" t="inlineStr">
        <is>
          <t>Enter an explicit prediction date and dated weight history.</t>
        </is>
      </c>
    </row>
    <row r="11">
      <c r="A11" s="4" t="inlineStr">
        <is>
          <t>3</t>
        </is>
      </c>
      <c r="B11" s="4" t="inlineStr">
        <is>
          <t>Open Results to inspect baseline-derived status and separate illustrative simulation categories.</t>
        </is>
      </c>
    </row>
    <row r="12">
      <c r="A12" s="4" t="inlineStr">
        <is>
          <t>4</t>
        </is>
      </c>
      <c r="B12" s="4" t="inlineStr">
        <is>
          <t>Review Assumptions before interpreting any output; every relationship is provisional.</t>
        </is>
      </c>
    </row>
    <row r="13">
      <c r="A13" s="4" t="inlineStr">
        <is>
          <t>5</t>
        </is>
      </c>
      <c r="B13" s="4" t="inlineStr">
        <is>
          <t>Use Clinical Review to record decisions and requested changes.</t>
        </is>
      </c>
    </row>
    <row r="14">
      <c r="B14" s="4" t="n"/>
    </row>
    <row r="15">
      <c r="B15" s="4" t="n"/>
    </row>
    <row r="16">
      <c r="A16" s="4" t="inlineStr">
        <is>
          <t>Compatibility</t>
        </is>
      </c>
      <c r="B16" s="4" t="inlineStr">
        <is>
          <t>Excel 2019 or Microsoft 365. Formulas recalculate when the workbook opens.</t>
        </is>
      </c>
    </row>
    <row r="17">
      <c r="B17" s="4" t="n"/>
    </row>
    <row r="18">
      <c r="A18" s="4" t="inlineStr">
        <is>
          <t>Statistical testing</t>
        </is>
      </c>
      <c r="B18" s="4" t="inlineStr">
        <is>
          <t>No clinical hypothesis testing is claimed. The current tests verify calculation, temporal, boundary, missingness, reproducibility, and configuration behavior only.</t>
        </is>
      </c>
    </row>
    <row r="19">
      <c r="B19" s="4" t="n"/>
    </row>
    <row r="20">
      <c r="B20" s="4" t="n"/>
    </row>
    <row r="21">
      <c r="A21" s="5" t="inlineStr">
        <is>
          <t>Implemented cachexia criteria</t>
        </is>
      </c>
      <c r="B21" s="5" t="inlineStr">
        <is>
          <t>Baseline-derived current criteria status uses &gt;5% retrospective loss or &gt;2% loss with BMI &lt;20 kg/m². For &gt;2% and &lt;=5% loss with BMI &gt;=20, status remains unknown while the sarcopenia branch is disabled pending a clinical definition.</t>
        </is>
      </c>
    </row>
    <row r="22">
      <c r="B22" s="4" t="n"/>
    </row>
    <row r="23">
      <c r="A23" s="5" t="inlineStr">
        <is>
          <t>Provisional early-risk pattern</t>
        </is>
      </c>
      <c r="B23" s="5" t="inlineStr">
        <is>
          <t>After cachexia criteria are excluded: weight loss &gt;1% and &lt;=5% plus baseline reduced appetite=yes. The &gt;1% bound has no consensus basis; &lt;=5% is consensus-aligned; binary appetite is a POC simplification.</t>
        </is>
      </c>
    </row>
    <row r="24">
      <c r="B24" s="4" t="n"/>
    </row>
  </sheetData>
  <mergeCells count="3">
    <mergeCell ref="A2:H2"/>
    <mergeCell ref="A4:H5"/>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3"/>
  <sheetViews>
    <sheetView workbookViewId="0">
      <pane ySplit="7" topLeftCell="A8" activePane="bottomLeft" state="frozen"/>
      <selection pane="bottomLeft" activeCell="A1" sqref="A1"/>
    </sheetView>
  </sheetViews>
  <sheetFormatPr baseColWidth="8" defaultRowHeight="15"/>
  <cols>
    <col width="44" customWidth="1" min="1" max="1"/>
    <col width="24" customWidth="1" min="2" max="2"/>
    <col hidden="1" width="18" customWidth="1" min="3" max="3"/>
    <col hidden="1" width="18" customWidth="1" min="4" max="4"/>
    <col width="42" customWidth="1" min="5" max="5"/>
    <col width="22" customWidth="1" min="7" max="7"/>
    <col width="22" customWidth="1" min="8" max="8"/>
    <col width="22" customWidth="1" min="9" max="9"/>
    <col width="22" customWidth="1" min="10" max="10"/>
    <col width="22" customWidth="1" min="11" max="11"/>
    <col width="22" customWidth="1" min="12" max="12"/>
  </cols>
  <sheetData>
    <row r="1" ht="32" customHeight="1">
      <c r="A1" s="1" t="inlineStr">
        <is>
          <t>Interactive synthetic patient input</t>
        </is>
      </c>
    </row>
    <row r="2" ht="34" customHeight="1">
      <c r="A2" s="2" t="inlineStr">
        <is>
          <t>Change blue cells, then review automatically recalculated outputs on Results.</t>
        </is>
      </c>
    </row>
    <row r="3"/>
    <row r="4" ht="34" customHeight="1">
      <c r="A4" s="3" t="inlineStr">
        <is>
          <t>NOT FOR CLINICAL USE. All patients and outputs are synthetic. Category relationships are simulation assumptions, not clinically validated effects. Do not use for diagnosis, prognosis, treatment, patient care, or medical decisions.</t>
        </is>
      </c>
    </row>
    <row r="5"/>
    <row r="6">
      <c r="A6" s="4" t="inlineStr">
        <is>
          <t>Eligibility and inclusion criteria are not yet defined. Cancer-type labels are synthetic stratifiers for an adult solid-tumour POC pending clinical review.</t>
        </is>
      </c>
    </row>
    <row r="7"/>
    <row r="8">
      <c r="A8" s="4" t="inlineStr">
        <is>
          <t>Prediction date</t>
        </is>
      </c>
      <c r="B8" s="6" t="n">
        <v>46053</v>
      </c>
      <c r="G8" s="7" t="inlineStr">
        <is>
          <t>Baseline-derived status and illustrative categories</t>
        </is>
      </c>
    </row>
    <row r="9">
      <c r="A9" s="4" t="inlineStr">
        <is>
          <t>Age (years)</t>
        </is>
      </c>
      <c r="B9" s="8" t="n">
        <v>65</v>
      </c>
      <c r="G9" s="9" t="inlineStr">
        <is>
          <t>Baseline/current weight</t>
        </is>
      </c>
      <c r="H9" s="10">
        <f>'Results'!B9</f>
        <v/>
      </c>
      <c r="J9" s="9" t="inlineStr">
        <is>
          <t>3-month illustrative simulation category</t>
        </is>
      </c>
      <c r="K9" s="11">
        <f>'Results'!B25</f>
        <v/>
      </c>
    </row>
    <row r="10">
      <c r="A10" s="4" t="inlineStr">
        <is>
          <t>Sex (descriptive; unused in category)</t>
        </is>
      </c>
      <c r="B10" s="8" t="inlineStr">
        <is>
          <t>female</t>
        </is>
      </c>
      <c r="G10" s="9" t="inlineStr">
        <is>
          <t>BMI</t>
        </is>
      </c>
      <c r="H10" s="12">
        <f>'Results'!B12</f>
        <v/>
      </c>
      <c r="J10" s="9" t="inlineStr">
        <is>
          <t>Basis / status</t>
        </is>
      </c>
      <c r="K10" s="11">
        <f>'Results'!B26</f>
        <v/>
      </c>
    </row>
    <row r="11">
      <c r="A11" s="4" t="inlineStr">
        <is>
          <t>Cancer type (synthetic stratifier)</t>
        </is>
      </c>
      <c r="B11" s="8" t="inlineStr">
        <is>
          <t>lung</t>
        </is>
      </c>
      <c r="G11" s="9" t="inlineStr">
        <is>
          <t>Weight loss</t>
        </is>
      </c>
      <c r="H11" s="13">
        <f>'Results'!B13</f>
        <v/>
      </c>
      <c r="J11" s="9" t="inlineStr">
        <is>
          <t>Explanation</t>
        </is>
      </c>
      <c r="K11" s="11">
        <f>'Results'!B27</f>
        <v/>
      </c>
    </row>
    <row r="12">
      <c r="A12" s="4" t="inlineStr">
        <is>
          <t>Lung subtype (descriptive; unused)</t>
        </is>
      </c>
      <c r="B12" s="8" t="inlineStr">
        <is>
          <t>NSCLC</t>
        </is>
      </c>
      <c r="G12" s="9" t="inlineStr">
        <is>
          <t>Interval</t>
        </is>
      </c>
      <c r="H12" s="14">
        <f>'Results'!B14</f>
        <v/>
      </c>
      <c r="J12" s="9" t="inlineStr">
        <is>
          <t>Target outcome</t>
        </is>
      </c>
      <c r="K12" s="11" t="inlineStr">
        <is>
          <t>Target outcome is not defined pending clinical review.</t>
        </is>
      </c>
    </row>
    <row r="13">
      <c r="A13" s="4" t="inlineStr">
        <is>
          <t>Cancer stage</t>
        </is>
      </c>
      <c r="B13" s="8" t="inlineStr">
        <is>
          <t>III</t>
        </is>
      </c>
      <c r="G13" s="9" t="inlineStr">
        <is>
          <t>Weight-loss rate</t>
        </is>
      </c>
      <c r="H13" s="15">
        <f>'Results'!B15</f>
        <v/>
      </c>
      <c r="J13" s="9" t="inlineStr">
        <is>
          <t>6-month illustrative simulation category</t>
        </is>
      </c>
      <c r="K13" s="11">
        <f>'Results'!D25</f>
        <v/>
      </c>
    </row>
    <row r="14">
      <c r="A14" s="4" t="inlineStr">
        <is>
          <t>Height (cm; optional, required for BMI/category)</t>
        </is>
      </c>
      <c r="B14" s="8" t="n">
        <v>170</v>
      </c>
      <c r="G14" s="9" t="inlineStr">
        <is>
          <t>Trajectory</t>
        </is>
      </c>
      <c r="H14" s="11">
        <f>'Results'!B17</f>
        <v/>
      </c>
      <c r="J14" s="9" t="inlineStr">
        <is>
          <t>Basis / status</t>
        </is>
      </c>
      <c r="K14" s="11">
        <f>'Results'!D26</f>
        <v/>
      </c>
    </row>
    <row r="15">
      <c r="A15" s="4" t="inlineStr">
        <is>
          <t>ECOG</t>
        </is>
      </c>
      <c r="B15" s="8" t="inlineStr">
        <is>
          <t>2</t>
        </is>
      </c>
      <c r="J15" s="9" t="inlineStr">
        <is>
          <t>Explanation</t>
        </is>
      </c>
      <c r="K15" s="11">
        <f>'Results'!D27</f>
        <v/>
      </c>
    </row>
    <row r="16">
      <c r="A16" s="4" t="inlineStr">
        <is>
          <t>Reduced appetite</t>
        </is>
      </c>
      <c r="B16" s="8" t="inlineStr">
        <is>
          <t>no</t>
        </is>
      </c>
      <c r="G16" s="9" t="inlineStr">
        <is>
          <t>Current cachexia criteria status</t>
        </is>
      </c>
      <c r="H16" s="11">
        <f>'Results'!B19</f>
        <v/>
      </c>
      <c r="J16" s="9" t="inlineStr">
        <is>
          <t>Target outcome</t>
        </is>
      </c>
      <c r="K16" s="11" t="inlineStr">
        <is>
          <t>Target outcome is not defined pending clinical review.</t>
        </is>
      </c>
    </row>
    <row r="17">
      <c r="A17" s="4" t="inlineStr">
        <is>
          <t>Sarcopenia (future-use; unused in v1)</t>
        </is>
      </c>
      <c r="B17" s="8" t="inlineStr">
        <is>
          <t>unknown</t>
        </is>
      </c>
      <c r="G17" s="9" t="inlineStr">
        <is>
          <t>Current provisional pre-cachexia candidate</t>
        </is>
      </c>
      <c r="H17" s="11">
        <f>'Results'!B20</f>
        <v/>
      </c>
    </row>
    <row r="18"/>
    <row r="19"/>
    <row r="20">
      <c r="A20" s="16" t="inlineStr">
        <is>
          <t>Dated weight history (predictors use only dates &lt;= prediction date)</t>
        </is>
      </c>
      <c r="G20" s="17" t="inlineStr">
        <is>
          <t>Rules shown in plain language
Baseline-derived cachexia criteria status: &gt;5% retrospective weight loss, or &gt;2% loss with BMI &lt;20 kg/m². For loss &gt;2% and &lt;=5% with BMI &gt;=20, status is unknown because the sarcopenia branch is disabled pending a clinical definition.
Provisional pre-cachexia candidate: cachexia criteria not met, &gt;1% and &lt;=5% loss, and baseline reduced appetite=yes. The &gt;1% lower bound has no consensus basis and is editable; &lt;=5% is consensus-aligned. Binary appetite is a POC simplification.</t>
        </is>
      </c>
    </row>
    <row r="21">
      <c r="A21" s="5" t="inlineStr">
        <is>
          <t>Measurement date</t>
        </is>
      </c>
      <c r="B21" s="5" t="inlineStr">
        <is>
          <t>Weight (kg)</t>
        </is>
      </c>
      <c r="C21" s="5" t="inlineStr">
        <is>
          <t>Baseline candidate</t>
        </is>
      </c>
      <c r="D21" s="5" t="inlineStr">
        <is>
          <t>Prior candidate</t>
        </is>
      </c>
      <c r="E21" s="5" t="inlineStr">
        <is>
          <t>Eligibility note</t>
        </is>
      </c>
    </row>
    <row r="22">
      <c r="A22" s="18" t="n">
        <v>45869</v>
      </c>
      <c r="B22" s="11" t="n">
        <v>80</v>
      </c>
      <c r="C22" s="4">
        <f>IF(AND(ISNUMBER(A22),ISNUMBER(B22),A22&lt;=$B$8,B22&gt;='Assumptions'!$B$18,B22&lt;='Assumptions'!$B$19),A22,0)</f>
        <v/>
      </c>
      <c r="D22" s="4">
        <f>IF(AND(ISNUMBER(A22),ISNUMBER(B22),'Results'!$B$8&lt;&gt;"",A22&lt;'Results'!$B$8,A22&gt;=EDATE('Results'!$B$8,-6),B22&gt;='Assumptions'!$B$18,B22&lt;='Assumptions'!$B$19),A22,DATE(9999,12,31))</f>
        <v/>
      </c>
      <c r="E22" s="4">
        <f>IF(OR(A22="",B22=""),"incomplete / ignored",IF(A22&lt;=$B$8,"baseline-eligible","outcome-only / excluded from predictors"))</f>
        <v/>
      </c>
    </row>
    <row r="23">
      <c r="A23" s="19" t="n">
        <v>46053</v>
      </c>
      <c r="B23" s="5" t="n">
        <v>76</v>
      </c>
      <c r="C23" s="5">
        <f>IF(AND(ISNUMBER(A23),ISNUMBER(B23),A23&lt;=$B$8,B23&gt;='Assumptions'!$B$18,B23&lt;='Assumptions'!$B$19),A23,0)</f>
        <v/>
      </c>
      <c r="D23" s="5">
        <f>IF(AND(ISNUMBER(A23),ISNUMBER(B23),'Results'!$B$8&lt;&gt;"",A23&lt;'Results'!$B$8,A23&gt;=EDATE('Results'!$B$8,-6),B23&gt;='Assumptions'!$B$18,B23&lt;='Assumptions'!$B$19),A23,DATE(9999,12,31))</f>
        <v/>
      </c>
      <c r="E23" s="5">
        <f>IF(OR(A23="",B23=""),"incomplete / ignored",IF(A23&lt;=$B$8,"baseline-eligible","outcome-only / excluded from predictors"))</f>
        <v/>
      </c>
    </row>
    <row r="24">
      <c r="A24" s="20" t="n"/>
      <c r="B24" s="21" t="n"/>
      <c r="C24" s="4">
        <f>IF(AND(ISNUMBER(A24),ISNUMBER(B24),A24&lt;=$B$8,B24&gt;='Assumptions'!$B$18,B24&lt;='Assumptions'!$B$19),A24,0)</f>
        <v/>
      </c>
      <c r="D24" s="4">
        <f>IF(AND(ISNUMBER(A24),ISNUMBER(B24),'Results'!$B$8&lt;&gt;"",A24&lt;'Results'!$B$8,A24&gt;=EDATE('Results'!$B$8,-6),B24&gt;='Assumptions'!$B$18,B24&lt;='Assumptions'!$B$19),A24,DATE(9999,12,31))</f>
        <v/>
      </c>
      <c r="E24" s="4">
        <f>IF(OR(A24="",B24=""),"incomplete / ignored",IF(A24&lt;=$B$8,"baseline-eligible","outcome-only / excluded from predictors"))</f>
        <v/>
      </c>
    </row>
    <row r="25">
      <c r="A25" s="20" t="n"/>
      <c r="B25" s="21" t="n"/>
      <c r="C25" s="4">
        <f>IF(AND(ISNUMBER(A25),ISNUMBER(B25),A25&lt;=$B$8,B25&gt;='Assumptions'!$B$18,B25&lt;='Assumptions'!$B$19),A25,0)</f>
        <v/>
      </c>
      <c r="D25" s="4">
        <f>IF(AND(ISNUMBER(A25),ISNUMBER(B25),'Results'!$B$8&lt;&gt;"",A25&lt;'Results'!$B$8,A25&gt;=EDATE('Results'!$B$8,-6),B25&gt;='Assumptions'!$B$18,B25&lt;='Assumptions'!$B$19),A25,DATE(9999,12,31))</f>
        <v/>
      </c>
      <c r="E25" s="4">
        <f>IF(OR(A25="",B25=""),"incomplete / ignored",IF(A25&lt;=$B$8,"baseline-eligible","outcome-only / excluded from predictors"))</f>
        <v/>
      </c>
    </row>
    <row r="26">
      <c r="A26" s="20" t="n"/>
      <c r="B26" s="21" t="n"/>
      <c r="C26" s="4">
        <f>IF(AND(ISNUMBER(A26),ISNUMBER(B26),A26&lt;=$B$8,B26&gt;='Assumptions'!$B$18,B26&lt;='Assumptions'!$B$19),A26,0)</f>
        <v/>
      </c>
      <c r="D26" s="4">
        <f>IF(AND(ISNUMBER(A26),ISNUMBER(B26),'Results'!$B$8&lt;&gt;"",A26&lt;'Results'!$B$8,A26&gt;=EDATE('Results'!$B$8,-6),B26&gt;='Assumptions'!$B$18,B26&lt;='Assumptions'!$B$19),A26,DATE(9999,12,31))</f>
        <v/>
      </c>
      <c r="E26" s="4">
        <f>IF(OR(A26="",B26=""),"incomplete / ignored",IF(A26&lt;=$B$8,"baseline-eligible","outcome-only / excluded from predictors"))</f>
        <v/>
      </c>
    </row>
    <row r="27">
      <c r="A27" s="20" t="n"/>
      <c r="B27" s="21" t="n"/>
      <c r="C27" s="4">
        <f>IF(AND(ISNUMBER(A27),ISNUMBER(B27),A27&lt;=$B$8,B27&gt;='Assumptions'!$B$18,B27&lt;='Assumptions'!$B$19),A27,0)</f>
        <v/>
      </c>
      <c r="D27" s="4">
        <f>IF(AND(ISNUMBER(A27),ISNUMBER(B27),'Results'!$B$8&lt;&gt;"",A27&lt;'Results'!$B$8,A27&gt;=EDATE('Results'!$B$8,-6),B27&gt;='Assumptions'!$B$18,B27&lt;='Assumptions'!$B$19),A27,DATE(9999,12,31))</f>
        <v/>
      </c>
      <c r="E27" s="4">
        <f>IF(OR(A27="",B27=""),"incomplete / ignored",IF(A27&lt;=$B$8,"baseline-eligible","outcome-only / excluded from predictors"))</f>
        <v/>
      </c>
    </row>
    <row r="28">
      <c r="A28" s="20" t="n"/>
      <c r="B28" s="21" t="n"/>
      <c r="C28" s="4">
        <f>IF(AND(ISNUMBER(A28),ISNUMBER(B28),A28&lt;=$B$8,B28&gt;='Assumptions'!$B$18,B28&lt;='Assumptions'!$B$19),A28,0)</f>
        <v/>
      </c>
      <c r="D28" s="4">
        <f>IF(AND(ISNUMBER(A28),ISNUMBER(B28),'Results'!$B$8&lt;&gt;"",A28&lt;'Results'!$B$8,A28&gt;=EDATE('Results'!$B$8,-6),B28&gt;='Assumptions'!$B$18,B28&lt;='Assumptions'!$B$19),A28,DATE(9999,12,31))</f>
        <v/>
      </c>
      <c r="E28" s="4">
        <f>IF(OR(A28="",B28=""),"incomplete / ignored",IF(A28&lt;=$B$8,"baseline-eligible","outcome-only / excluded from predictors"))</f>
        <v/>
      </c>
    </row>
    <row r="29">
      <c r="A29" s="20" t="n"/>
      <c r="B29" s="21" t="n"/>
      <c r="C29" s="4">
        <f>IF(AND(ISNUMBER(A29),ISNUMBER(B29),A29&lt;=$B$8,B29&gt;='Assumptions'!$B$18,B29&lt;='Assumptions'!$B$19),A29,0)</f>
        <v/>
      </c>
      <c r="D29" s="4">
        <f>IF(AND(ISNUMBER(A29),ISNUMBER(B29),'Results'!$B$8&lt;&gt;"",A29&lt;'Results'!$B$8,A29&gt;=EDATE('Results'!$B$8,-6),B29&gt;='Assumptions'!$B$18,B29&lt;='Assumptions'!$B$19),A29,DATE(9999,12,31))</f>
        <v/>
      </c>
      <c r="E29" s="4">
        <f>IF(OR(A29="",B29=""),"incomplete / ignored",IF(A29&lt;=$B$8,"baseline-eligible","outcome-only / excluded from predictors"))</f>
        <v/>
      </c>
    </row>
    <row r="30">
      <c r="A30" s="20" t="n"/>
      <c r="B30" s="21" t="n"/>
      <c r="C30" s="4">
        <f>IF(AND(ISNUMBER(A30),ISNUMBER(B30),A30&lt;=$B$8,B30&gt;='Assumptions'!$B$18,B30&lt;='Assumptions'!$B$19),A30,0)</f>
        <v/>
      </c>
      <c r="D30" s="4">
        <f>IF(AND(ISNUMBER(A30),ISNUMBER(B30),'Results'!$B$8&lt;&gt;"",A30&lt;'Results'!$B$8,A30&gt;=EDATE('Results'!$B$8,-6),B30&gt;='Assumptions'!$B$18,B30&lt;='Assumptions'!$B$19),A30,DATE(9999,12,31))</f>
        <v/>
      </c>
      <c r="E30" s="4">
        <f>IF(OR(A30="",B30=""),"incomplete / ignored",IF(A30&lt;=$B$8,"baseline-eligible","outcome-only / excluded from predictors"))</f>
        <v/>
      </c>
    </row>
    <row r="31">
      <c r="A31" s="20" t="n"/>
      <c r="B31" s="21" t="n"/>
      <c r="C31" s="4">
        <f>IF(AND(ISNUMBER(A31),ISNUMBER(B31),A31&lt;=$B$8,B31&gt;='Assumptions'!$B$18,B31&lt;='Assumptions'!$B$19),A31,0)</f>
        <v/>
      </c>
      <c r="D31" s="4">
        <f>IF(AND(ISNUMBER(A31),ISNUMBER(B31),'Results'!$B$8&lt;&gt;"",A31&lt;'Results'!$B$8,A31&gt;=EDATE('Results'!$B$8,-6),B31&gt;='Assumptions'!$B$18,B31&lt;='Assumptions'!$B$19),A31,DATE(9999,12,31))</f>
        <v/>
      </c>
      <c r="E31" s="4">
        <f>IF(OR(A31="",B31=""),"incomplete / ignored",IF(A31&lt;=$B$8,"baseline-eligible","outcome-only / excluded from predictors"))</f>
        <v/>
      </c>
    </row>
    <row r="32">
      <c r="A32" s="20" t="n"/>
      <c r="B32" s="21" t="n"/>
      <c r="C32" s="4">
        <f>IF(AND(ISNUMBER(A32),ISNUMBER(B32),A32&lt;=$B$8,B32&gt;='Assumptions'!$B$18,B32&lt;='Assumptions'!$B$19),A32,0)</f>
        <v/>
      </c>
      <c r="D32" s="4">
        <f>IF(AND(ISNUMBER(A32),ISNUMBER(B32),'Results'!$B$8&lt;&gt;"",A32&lt;'Results'!$B$8,A32&gt;=EDATE('Results'!$B$8,-6),B32&gt;='Assumptions'!$B$18,B32&lt;='Assumptions'!$B$19),A32,DATE(9999,12,31))</f>
        <v/>
      </c>
      <c r="E32" s="4">
        <f>IF(OR(A32="",B32=""),"incomplete / ignored",IF(A32&lt;=$B$8,"baseline-eligible","outcome-only / excluded from predictors"))</f>
        <v/>
      </c>
    </row>
    <row r="33">
      <c r="A33" s="20" t="n"/>
      <c r="B33" s="21" t="n"/>
      <c r="C33" s="4">
        <f>IF(AND(ISNUMBER(A33),ISNUMBER(B33),A33&lt;=$B$8,B33&gt;='Assumptions'!$B$18,B33&lt;='Assumptions'!$B$19),A33,0)</f>
        <v/>
      </c>
      <c r="D33" s="4">
        <f>IF(AND(ISNUMBER(A33),ISNUMBER(B33),'Results'!$B$8&lt;&gt;"",A33&lt;'Results'!$B$8,A33&gt;=EDATE('Results'!$B$8,-6),B33&gt;='Assumptions'!$B$18,B33&lt;='Assumptions'!$B$19),A33,DATE(9999,12,31))</f>
        <v/>
      </c>
      <c r="E33" s="4">
        <f>IF(OR(A33="",B33=""),"incomplete / ignored",IF(A33&lt;=$B$8,"baseline-eligible","outcome-only / excluded from predictors"))</f>
        <v/>
      </c>
    </row>
  </sheetData>
  <mergeCells count="6">
    <mergeCell ref="G20:L23"/>
    <mergeCell ref="A4:H5"/>
    <mergeCell ref="A2:H2"/>
    <mergeCell ref="A6:L6"/>
    <mergeCell ref="G8:L8"/>
    <mergeCell ref="A1:H1"/>
  </mergeCells>
  <dataValidations count="11">
    <dataValidation sqref="B10" showDropDown="0" showInputMessage="1" showErrorMessage="1" allowBlank="0" errorTitle="Invalid category" error="Choose a value from the list; unknown is distinct from no." promptTitle="Validated input" prompt="Select a permitted value." type="list">
      <formula1>"female,male,unknown"</formula1>
    </dataValidation>
    <dataValidation sqref="B11" showDropDown="0" showInputMessage="1" showErrorMessage="1" allowBlank="0" errorTitle="Invalid category" error="Choose a value from the list; unknown is distinct from no." promptTitle="Validated input" prompt="Select a permitted value." type="list">
      <formula1>"lung,colorectal,oesophageal,gastric,pancreatic,hepatobiliary,head and neck,breast,prostate,other solid tumour"</formula1>
    </dataValidation>
    <dataValidation sqref="B12" showDropDown="0" showInputMessage="0" showErrorMessage="1" allowBlank="0" errorTitle="Invalid subtype" error="Choose SCLC, NSCLC, or unknown for lung; otherwise choose not applicable." type="list">
      <formula1>=INDIRECT(IF($B$11="lung","Assumptions!$T$8:$T$10","Assumptions!$U$8:$U$8"))</formula1>
    </dataValidation>
    <dataValidation sqref="B13" showDropDown="0" showInputMessage="1" showErrorMessage="1" allowBlank="0" errorTitle="Invalid category" error="Choose a value from the list; unknown is distinct from no." promptTitle="Validated input" prompt="Select a permitted value." type="list">
      <formula1>"I,II,III,IV,unknown"</formula1>
    </dataValidation>
    <dataValidation sqref="B15" showDropDown="0" showInputMessage="1" showErrorMessage="1" allowBlank="0" errorTitle="Invalid category" error="Choose a value from the list; unknown is distinct from no." promptTitle="Validated input" prompt="Select a permitted value." type="list">
      <formula1>"0,1,2,3,4,unknown"</formula1>
    </dataValidation>
    <dataValidation sqref="B16" showDropDown="0" showInputMessage="1" showErrorMessage="1" allowBlank="0" errorTitle="Invalid category" error="Choose a value from the list; unknown is distinct from no." promptTitle="Validated input" prompt="Select a permitted value." type="list">
      <formula1>"yes,no,unknown"</formula1>
    </dataValidation>
    <dataValidation sqref="B17" showDropDown="0" showInputMessage="1" showErrorMessage="1" allowBlank="0" errorTitle="Invalid category" error="Choose a value from the list; unknown is distinct from no." promptTitle="Validated input" prompt="Select a permitted value." type="list">
      <formula1>"yes,no,unknown"</formula1>
    </dataValidation>
    <dataValidation sqref="B9" showDropDown="0" showInputMessage="0" showErrorMessage="1" allowBlank="0" errorTitle="Invalid age" error="Enter a whole-number age within the configured range." type="whole" errorStyle="stop" operator="between">
      <formula1>18</formula1>
      <formula2>95</formula2>
    </dataValidation>
    <dataValidation sqref="B14" showDropDown="0" showInputMessage="0" showErrorMessage="1" allowBlank="1" errorTitle="Invalid height" error="Enter a height within the configured range or leave it blank." type="decimal" errorStyle="stop" operator="between">
      <formula1>140</formula1>
      <formula2>200</formula2>
    </dataValidation>
    <dataValidation sqref="B22:B33" showDropDown="0" showInputMessage="0" showErrorMessage="1" allowBlank="1" errorTitle="Invalid weight" error="Enter a weight within the configured range or clear both cells in the row." type="decimal" errorStyle="stop" operator="between">
      <formula1>25</formula1>
      <formula2>160</formula2>
    </dataValidation>
    <dataValidation sqref="A22:A33" showDropDown="0" showInputMessage="0" showErrorMessage="1" allowBlank="1" errorTitle="Invalid measurement date" error="Enter a valid measurement date or clear both cells in the row." type="date" errorStyle="stop" operator="between">
      <formula1>DATE(2000,1,1)</formula1>
      <formula2>DATE(2100,12,31)</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40" customWidth="1" min="1" max="1"/>
    <col width="34" customWidth="1" min="2" max="2"/>
    <col width="4" customWidth="1" min="3" max="3"/>
    <col width="34" customWidth="1" min="4" max="4"/>
    <col width="14" customWidth="1" min="5" max="5"/>
    <col width="14" customWidth="1" min="6" max="6"/>
    <col width="14" customWidth="1" min="7" max="7"/>
    <col width="14" customWidth="1" min="8" max="8"/>
  </cols>
  <sheetData>
    <row r="1" ht="32" customHeight="1">
      <c r="A1" s="1" t="inlineStr">
        <is>
          <t>Calculated synthetic outputs</t>
        </is>
      </c>
    </row>
    <row r="2" ht="34" customHeight="1">
      <c r="A2" s="2" t="inlineStr">
        <is>
          <t>Excel 2019 / Microsoft 365 formulas. Blank means not calculable; unknown is not no.</t>
        </is>
      </c>
    </row>
    <row r="3"/>
    <row r="4" ht="34" customHeight="1">
      <c r="A4" s="3" t="inlineStr">
        <is>
          <t>NOT FOR CLINICAL USE. All patients and outputs are synthetic. Category relationships are simulation assumptions, not clinically validated effects. Do not use for diagnosis, prognosis, treatment, patient care, or medical decisions.</t>
        </is>
      </c>
    </row>
    <row r="5"/>
    <row r="6"/>
    <row r="7"/>
    <row r="8">
      <c r="A8" s="9" t="inlineStr">
        <is>
          <t>Baseline weight date</t>
        </is>
      </c>
      <c r="B8" s="18">
        <f>IF(MAX('Calculator'!$C$22:$C$33)=0,"",MAX('Calculator'!$C$22:$C$33))</f>
        <v/>
      </c>
      <c r="D8" s="21" t="n"/>
    </row>
    <row r="9">
      <c r="A9" s="9" t="inlineStr">
        <is>
          <t>Baseline/current weight (kg)</t>
        </is>
      </c>
      <c r="B9" s="11">
        <f>IF(B8="","",IF(COUNTIFS('Calculator'!$A$22:$A$33,B8,'Calculator'!$B$22:$B$33,"&gt;="&amp;'Assumptions'!$B$18,'Calculator'!$B$22:$B$33,"&lt;="&amp;'Assumptions'!$B$19)&lt;&gt;1,"",SUMIFS('Calculator'!$B$22:$B$33,'Calculator'!$A$22:$A$33,B8,'Calculator'!$B$22:$B$33,"&gt;="&amp;'Assumptions'!$B$18,'Calculator'!$B$22:$B$33,"&lt;="&amp;'Assumptions'!$B$19)))</f>
        <v/>
      </c>
      <c r="D9" s="21" t="n"/>
    </row>
    <row r="10">
      <c r="A10" s="9" t="inlineStr">
        <is>
          <t>Prior comparison date</t>
        </is>
      </c>
      <c r="B10" s="18">
        <f>IF(OR(B8="",MIN('Calculator'!$D$22:$D$33)=DATE(9999,12,31)),"",MIN('Calculator'!$D$22:$D$33))</f>
        <v/>
      </c>
      <c r="D10" s="21" t="n"/>
    </row>
    <row r="11">
      <c r="A11" s="9" t="inlineStr">
        <is>
          <t>Prior comparison weight (kg)</t>
        </is>
      </c>
      <c r="B11" s="11">
        <f>IF(B10="","",IF(COUNTIFS('Calculator'!$A$22:$A$33,B10,'Calculator'!$B$22:$B$33,"&gt;="&amp;'Assumptions'!$B$18,'Calculator'!$B$22:$B$33,"&lt;="&amp;'Assumptions'!$B$19)&lt;&gt;1,"",SUMIFS('Calculator'!$B$22:$B$33,'Calculator'!$A$22:$A$33,B10,'Calculator'!$B$22:$B$33,"&gt;="&amp;'Assumptions'!$B$18,'Calculator'!$B$22:$B$33,"&lt;="&amp;'Assumptions'!$B$19)))</f>
        <v/>
      </c>
      <c r="D11" s="21" t="n"/>
    </row>
    <row r="12">
      <c r="A12" s="9" t="inlineStr">
        <is>
          <t>BMI (kg/m²)</t>
        </is>
      </c>
      <c r="B12" s="12">
        <f>IF(OR(B9="",'Calculator'!B14=""),"",B9/('Calculator'!B14/100)^2)</f>
        <v/>
      </c>
      <c r="D12" s="21" t="n"/>
    </row>
    <row r="13">
      <c r="A13" s="9" t="inlineStr">
        <is>
          <t>Percentage weight loss (+ = loss)</t>
        </is>
      </c>
      <c r="B13" s="12">
        <f>IF(OR(B9="",B11=""),"",((B11-B9)/B11)*100)</f>
        <v/>
      </c>
      <c r="D13" s="21" t="n"/>
    </row>
    <row r="14">
      <c r="A14" s="9" t="inlineStr">
        <is>
          <t>Interval (days)</t>
        </is>
      </c>
      <c r="B14" s="11">
        <f>IF(OR(B8="",B10=""),"",B8-B10)</f>
        <v/>
      </c>
      <c r="D14" s="21" t="n"/>
    </row>
    <row r="15">
      <c r="A15" s="9" t="inlineStr">
        <is>
          <t>Weight-loss rate (kg/month)</t>
        </is>
      </c>
      <c r="B15" s="12">
        <f>IF(OR(B9="",B11="",B14&lt;=0),"",(B11-B9)/(B14/'Assumptions'!$B$8))</f>
        <v/>
      </c>
      <c r="D15" s="21" t="n"/>
    </row>
    <row r="16">
      <c r="A16" s="9" t="inlineStr">
        <is>
          <t>Rate (percentage points/month)</t>
        </is>
      </c>
      <c r="B16" s="12">
        <f>IF(OR(B13="",B14&lt;=0),"",B13/(B14/'Assumptions'!$B$8))</f>
        <v/>
      </c>
      <c r="D16" s="21" t="n"/>
    </row>
    <row r="17">
      <c r="A17" s="9" t="inlineStr">
        <is>
          <t>Trajectory</t>
        </is>
      </c>
      <c r="B17" s="11">
        <f>IF(B13="","unknown",IF(B13&gt;'Assumptions'!$B$9,"loss",IF(B13&lt;-'Assumptions'!$B$9,"gain","stable")))</f>
        <v/>
      </c>
      <c r="D17" s="21" t="n"/>
    </row>
    <row r="18">
      <c r="A18" s="22" t="n"/>
      <c r="B18" s="21" t="n"/>
      <c r="D18" s="21" t="n"/>
    </row>
    <row r="19">
      <c r="A19" s="9" t="inlineStr">
        <is>
          <t>Current cachexia criteria status</t>
        </is>
      </c>
      <c r="B19" s="11">
        <f>IF(B13="","unknown",IF(B13&gt;'Assumptions'!$B$10,"yes",IF(B13&lt;='Assumptions'!$B$11,"no",IF(B12="","unknown",IF(B12&lt;'Assumptions'!$B$12,"yes","unknown")))))</f>
        <v/>
      </c>
      <c r="D19" s="21" t="n"/>
    </row>
    <row r="20">
      <c r="A20" s="9" t="inlineStr">
        <is>
          <t>Current provisional pre-cachexia candidate</t>
        </is>
      </c>
      <c r="B20" s="11">
        <f>IF(B19="unknown","unknown",IF(B19="yes","no",IF(OR(B13&lt;='Assumptions'!$B$13,B13&gt;'Assumptions'!$B$14),"no",IF('Calculator'!B16="yes","yes",IF('Calculator'!B16="no","no","unknown")))))</f>
        <v/>
      </c>
      <c r="D20" s="21" t="n"/>
    </row>
    <row r="21">
      <c r="A21" s="22" t="n"/>
      <c r="B21" s="21" t="n"/>
      <c r="D21" s="21" t="n"/>
    </row>
    <row r="22">
      <c r="A22" s="22" t="n"/>
      <c r="B22" s="21" t="n"/>
      <c r="D22" s="21" t="n"/>
    </row>
    <row r="23">
      <c r="A23" s="5" t="inlineStr">
        <is>
          <t>Illustrative simulation horizon</t>
        </is>
      </c>
      <c r="B23" s="5" t="inlineStr">
        <is>
          <t>3 months</t>
        </is>
      </c>
      <c r="D23" s="5" t="inlineStr">
        <is>
          <t>6 months</t>
        </is>
      </c>
    </row>
    <row r="24">
      <c r="A24" s="9" t="inlineStr">
        <is>
          <t>Output type</t>
        </is>
      </c>
      <c r="B24" s="11" t="inlineStr">
        <is>
          <t>illustrative simulation category</t>
        </is>
      </c>
      <c r="D24" s="11" t="inlineStr">
        <is>
          <t>illustrative simulation category</t>
        </is>
      </c>
    </row>
    <row r="25">
      <c r="A25" s="9" t="inlineStr">
        <is>
          <t>Category</t>
        </is>
      </c>
      <c r="B25" s="11">
        <f>IF(OR('Calculator'!B13="unknown",'Calculator'!B15="unknown",'Calculator'!B16="unknown",B12="",B13=""),"withheld",IF('Assumptions'!$B$20+IF('Calculator'!B9&gt;'Assumptions'!$B$15,'Assumptions'!$B$21,0)+VLOOKUP('Calculator'!B13,'Assumptions'!$H$8:$J$12,2,FALSE)+VLOOKUP('Calculator'!B15,'Assumptions'!$L$8:$N$13,2,FALSE)+VLOOKUP('Calculator'!B16,'Assumptions'!$P$8:$R$10,2,FALSE)+MAX(0,N(B13))*'Assumptions'!$B$22+IF(AND(B12&lt;&gt;"",B12&lt;'Assumptions'!$B$12),'Assumptions'!$B$23,0)+(VLOOKUP('Calculator'!B11,'Assumptions'!$E$8:$F$17,2,FALSE)-1)*'Assumptions'!$B$24&lt;'Assumptions'!$B$16,"low",IF('Assumptions'!$B$20+IF('Calculator'!B9&gt;'Assumptions'!$B$15,'Assumptions'!$B$21,0)+VLOOKUP('Calculator'!B13,'Assumptions'!$H$8:$J$12,2,FALSE)+VLOOKUP('Calculator'!B15,'Assumptions'!$L$8:$N$13,2,FALSE)+VLOOKUP('Calculator'!B16,'Assumptions'!$P$8:$R$10,2,FALSE)+MAX(0,N(B13))*'Assumptions'!$B$22+IF(AND(B12&lt;&gt;"",B12&lt;'Assumptions'!$B$12),'Assumptions'!$B$23,0)+(VLOOKUP('Calculator'!B11,'Assumptions'!$E$8:$F$17,2,FALSE)-1)*'Assumptions'!$B$24&gt;='Assumptions'!$B$17,"high","moderate")))</f>
        <v/>
      </c>
      <c r="D25" s="11">
        <f>IF(OR('Calculator'!B13="unknown",'Calculator'!B15="unknown",'Calculator'!B16="unknown",B12="",B13=""),"withheld",IF('Assumptions'!$B$25+IF('Calculator'!B9&gt;'Assumptions'!$B$15,'Assumptions'!$B$26,0)+VLOOKUP('Calculator'!B13,'Assumptions'!$H$8:$J$12,3,FALSE)+VLOOKUP('Calculator'!B15,'Assumptions'!$L$8:$N$13,3,FALSE)+VLOOKUP('Calculator'!B16,'Assumptions'!$P$8:$R$10,3,FALSE)+MAX(0,N(B13))*'Assumptions'!$B$27+IF(AND(B12&lt;&gt;"",B12&lt;'Assumptions'!$B$12),'Assumptions'!$B$28,0)+(VLOOKUP('Calculator'!B11,'Assumptions'!$E$8:$F$17,2,FALSE)-1)*'Assumptions'!$B$29&lt;'Assumptions'!$B$16,"low",IF('Assumptions'!$B$25+IF('Calculator'!B9&gt;'Assumptions'!$B$15,'Assumptions'!$B$26,0)+VLOOKUP('Calculator'!B13,'Assumptions'!$H$8:$J$12,3,FALSE)+VLOOKUP('Calculator'!B15,'Assumptions'!$L$8:$N$13,3,FALSE)+VLOOKUP('Calculator'!B16,'Assumptions'!$P$8:$R$10,3,FALSE)+MAX(0,N(B13))*'Assumptions'!$B$27+IF(AND(B12&lt;&gt;"",B12&lt;'Assumptions'!$B$12),'Assumptions'!$B$28,0)+(VLOOKUP('Calculator'!B11,'Assumptions'!$E$8:$F$17,2,FALSE)-1)*'Assumptions'!$B$29&gt;='Assumptions'!$B$17,"high","moderate")))</f>
        <v/>
      </c>
    </row>
    <row r="26">
      <c r="A26" s="9" t="inlineStr">
        <is>
          <t>Basis / status</t>
        </is>
      </c>
      <c r="B26" s="11">
        <f>IF(B25="withheld","Illustrative simulation category; withheld missing required baseline predictors. Target outcome is not defined pending clinical review.","Illustrative simulation category; baseline predictors only; research-only. Target outcome is not defined pending clinical review.")</f>
        <v/>
      </c>
      <c r="D26" s="11">
        <f>IF(D25="withheld","Illustrative simulation category; withheld missing required baseline predictors. Target outcome is not defined pending clinical review.","Illustrative simulation category; baseline predictors only; research-only. Target outcome is not defined pending clinical review.")</f>
        <v/>
      </c>
    </row>
    <row r="27">
      <c r="A27" s="9" t="inlineStr">
        <is>
          <t>Explanation</t>
        </is>
      </c>
      <c r="B27" s="11">
        <f>IF(OR('Calculator'!B13="unknown",'Calculator'!B15="unknown",'Calculator'!B16="unknown",B12="",B13=""),"Illustrative simulation category withheld: "&amp;IF('Calculator'!B13="unknown","cancer stage is unknown; ","")&amp;IF('Calculator'!B15="unknown","baseline ECOG is unknown; ","")&amp;IF('Calculator'!B16="unknown","baseline reduced appetite is unknown; ","")&amp;IF(B12="","BMI is unavailable because height or baseline weight is unavailable; ","")&amp;IF(B13="","baseline weight change is unavailable because eligible prior history is insufficient; ",""),TRIM(IF('Calculator'!B9&gt;'Assumptions'!$B$15,"age &gt;55; ","")&amp;IF(B13&gt;0,"baseline loss "&amp;TEXT(B13,"0.0")&amp;"%; ","")&amp;IF(AND(B12&lt;&gt;"",B12&lt;'Assumptions'!$B$12),"BMI &lt;20; ","")&amp;"stage "&amp;'Calculator'!B13&amp;"; ECOG "&amp;'Calculator'!B15&amp;"; appetite="&amp;'Calculator'!B16&amp;"; "&amp;'Calculator'!B11))</f>
        <v/>
      </c>
      <c r="D27" s="11">
        <f>IF(OR('Calculator'!B13="unknown",'Calculator'!B15="unknown",'Calculator'!B16="unknown",B12="",B13=""),"Illustrative simulation category withheld: "&amp;IF('Calculator'!B13="unknown","cancer stage is unknown; ","")&amp;IF('Calculator'!B15="unknown","baseline ECOG is unknown; ","")&amp;IF('Calculator'!B16="unknown","baseline reduced appetite is unknown; ","")&amp;IF(B12="","BMI is unavailable because height or baseline weight is unavailable; ","")&amp;IF(B13="","baseline weight change is unavailable because eligible prior history is insufficient; ",""),TRIM(IF('Calculator'!B9&gt;'Assumptions'!$B$15,"age &gt;55; ","")&amp;IF(B13&gt;0,"baseline loss "&amp;TEXT(B13,"0.0")&amp;"%; ","")&amp;IF(AND(B12&lt;&gt;"",B12&lt;'Assumptions'!$B$12),"BMI &lt;20; ","")&amp;"stage "&amp;'Calculator'!B13&amp;"; ECOG "&amp;'Calculator'!B15&amp;"; appetite="&amp;'Calculator'!B16&amp;"; "&amp;'Calculator'!B11))</f>
        <v/>
      </c>
    </row>
    <row r="28"/>
    <row r="29">
      <c r="A29" s="4" t="inlineStr">
        <is>
          <t>Interpretation</t>
        </is>
      </c>
      <c r="B29" s="4" t="inlineStr">
        <is>
          <t>These are ordinal illustrative simulation categories based on baseline predictors only. Target outcome is not defined pending clinical review. Differences between horizon categories are simulation assumptions, not different clinically defined estimands. Changing six-month assumptions does not change the three-month formula.</t>
        </is>
      </c>
    </row>
    <row r="30"/>
  </sheetData>
  <mergeCells count="4">
    <mergeCell ref="B29:H30"/>
    <mergeCell ref="A2:H2"/>
    <mergeCell ref="A4:H5"/>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9"/>
  <sheetViews>
    <sheetView workbookViewId="0">
      <pane ySplit="7" topLeftCell="A8" activePane="bottomLeft" state="frozen"/>
      <selection pane="bottomLeft" activeCell="A1" sqref="A1"/>
    </sheetView>
  </sheetViews>
  <sheetFormatPr baseColWidth="8" defaultRowHeight="15"/>
  <cols>
    <col width="20" customWidth="1" min="1" max="1"/>
    <col width="20" customWidth="1" min="2" max="2"/>
    <col width="32"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s>
  <sheetData>
    <row r="1" ht="32" customHeight="1">
      <c r="A1" s="1" t="inlineStr">
        <is>
          <t>Central simulation assumptions</t>
        </is>
      </c>
    </row>
    <row r="2" ht="34" customHeight="1">
      <c r="A2" s="2" t="inlineStr">
        <is>
          <t>Editable for research scenarios only. Values are not validated clinical effects.</t>
        </is>
      </c>
    </row>
    <row r="3"/>
    <row r="4" ht="34" customHeight="1">
      <c r="A4" s="3" t="inlineStr">
        <is>
          <t>NOT FOR CLINICAL USE. All patients and outputs are synthetic. Category relationships are simulation assumptions, not clinically validated effects. Do not use for diagnosis, prognosis, treatment, patient care, or medical decisions.</t>
        </is>
      </c>
    </row>
    <row r="5"/>
    <row r="6">
      <c r="A6" s="4" t="inlineStr">
        <is>
          <t>Key</t>
        </is>
      </c>
      <c r="B6" s="4" t="inlineStr">
        <is>
          <t>Value</t>
        </is>
      </c>
      <c r="C6" s="4" t="inlineStr">
        <is>
          <t>Status / source</t>
        </is>
      </c>
    </row>
    <row r="7">
      <c r="E7" s="5" t="inlineStr">
        <is>
          <t>Cancer type</t>
        </is>
      </c>
      <c r="F7" s="5" t="inlineStr">
        <is>
          <t>Illustrative multiplier</t>
        </is>
      </c>
      <c r="H7" s="5" t="inlineStr">
        <is>
          <t>Stage</t>
        </is>
      </c>
      <c r="I7" s="5" t="inlineStr">
        <is>
          <t>3m term</t>
        </is>
      </c>
      <c r="J7" s="5" t="inlineStr">
        <is>
          <t>6m term</t>
        </is>
      </c>
      <c r="L7" s="5" t="inlineStr">
        <is>
          <t>ECOG</t>
        </is>
      </c>
      <c r="M7" s="5" t="inlineStr">
        <is>
          <t>3m term</t>
        </is>
      </c>
      <c r="N7" s="5" t="inlineStr">
        <is>
          <t>6m term</t>
        </is>
      </c>
      <c r="P7" s="5" t="inlineStr">
        <is>
          <t>Appetite</t>
        </is>
      </c>
      <c r="Q7" s="5" t="inlineStr">
        <is>
          <t>3m term</t>
        </is>
      </c>
      <c r="R7" s="5" t="inlineStr">
        <is>
          <t>6m term</t>
        </is>
      </c>
    </row>
    <row r="8">
      <c r="A8" s="4" t="inlineStr">
        <is>
          <t>DaysPerMonth</t>
        </is>
      </c>
      <c r="B8" s="4" t="n">
        <v>30.4375</v>
      </c>
      <c r="C8" s="4" t="inlineStr">
        <is>
          <t>Operational normalization</t>
        </is>
      </c>
      <c r="E8" s="4" t="inlineStr">
        <is>
          <t>lung</t>
        </is>
      </c>
      <c r="F8" s="4" t="n">
        <v>1.6</v>
      </c>
      <c r="H8" s="4" t="inlineStr">
        <is>
          <t>I</t>
        </is>
      </c>
      <c r="I8" s="4" t="n">
        <v>0</v>
      </c>
      <c r="J8" s="4" t="n">
        <v>0</v>
      </c>
      <c r="L8" s="4" t="inlineStr">
        <is>
          <t>0</t>
        </is>
      </c>
      <c r="M8" s="4" t="n">
        <v>-0.3</v>
      </c>
      <c r="N8" s="4" t="n">
        <v>-0.25</v>
      </c>
      <c r="P8" s="4" t="inlineStr">
        <is>
          <t>yes</t>
        </is>
      </c>
      <c r="Q8" s="4" t="n">
        <v>0.75</v>
      </c>
      <c r="R8" s="4" t="n">
        <v>0.8</v>
      </c>
      <c r="T8" s="4" t="inlineStr">
        <is>
          <t>SCLC</t>
        </is>
      </c>
      <c r="U8" s="4" t="inlineStr">
        <is>
          <t>not applicable</t>
        </is>
      </c>
    </row>
    <row r="9">
      <c r="A9" s="4" t="inlineStr">
        <is>
          <t>TrajectoryEpsilon</t>
        </is>
      </c>
      <c r="B9" s="4" t="n">
        <v>0.5</v>
      </c>
      <c r="C9" s="4" t="inlineStr">
        <is>
          <t>Simulation assumption</t>
        </is>
      </c>
      <c r="E9" s="4" t="inlineStr">
        <is>
          <t>colorectal</t>
        </is>
      </c>
      <c r="F9" s="4" t="n">
        <v>1.3</v>
      </c>
      <c r="H9" s="4" t="inlineStr">
        <is>
          <t>II</t>
        </is>
      </c>
      <c r="I9" s="4" t="n">
        <v>0.2</v>
      </c>
      <c r="J9" s="4" t="n">
        <v>0.2</v>
      </c>
      <c r="L9" s="4" t="inlineStr">
        <is>
          <t>1</t>
        </is>
      </c>
      <c r="M9" s="4" t="n">
        <v>0</v>
      </c>
      <c r="N9" s="4" t="n">
        <v>0</v>
      </c>
      <c r="P9" s="4" t="inlineStr">
        <is>
          <t>no</t>
        </is>
      </c>
      <c r="Q9" s="4" t="n">
        <v>0</v>
      </c>
      <c r="R9" s="4" t="n">
        <v>0</v>
      </c>
      <c r="T9" s="4" t="inlineStr">
        <is>
          <t>NSCLC</t>
        </is>
      </c>
    </row>
    <row r="10">
      <c r="A10" s="4" t="inlineStr">
        <is>
          <t>FearonPrimary</t>
        </is>
      </c>
      <c r="B10" s="4" t="n">
        <v>5</v>
      </c>
      <c r="C10" s="4" t="inlineStr">
        <is>
          <t>Implemented criterion boundary</t>
        </is>
      </c>
      <c r="E10" s="4" t="inlineStr">
        <is>
          <t>oesophageal</t>
        </is>
      </c>
      <c r="F10" s="4" t="n">
        <v>1.8</v>
      </c>
      <c r="H10" s="4" t="inlineStr">
        <is>
          <t>III</t>
        </is>
      </c>
      <c r="I10" s="4" t="n">
        <v>0.5</v>
      </c>
      <c r="J10" s="4" t="n">
        <v>0.5</v>
      </c>
      <c r="L10" s="4" t="inlineStr">
        <is>
          <t>2</t>
        </is>
      </c>
      <c r="M10" s="4" t="n">
        <v>0.35</v>
      </c>
      <c r="N10" s="4" t="n">
        <v>0.4</v>
      </c>
      <c r="P10" s="4" t="inlineStr">
        <is>
          <t>unknown</t>
        </is>
      </c>
      <c r="Q10" s="4" t="n">
        <v>0.15</v>
      </c>
      <c r="R10" s="4" t="n">
        <v>0.15</v>
      </c>
      <c r="T10" s="4" t="inlineStr">
        <is>
          <t>unknown</t>
        </is>
      </c>
    </row>
    <row r="11">
      <c r="A11" s="4" t="inlineStr">
        <is>
          <t>FearonConditional</t>
        </is>
      </c>
      <c r="B11" s="4" t="n">
        <v>2</v>
      </c>
      <c r="C11" s="4" t="inlineStr">
        <is>
          <t>Implemented criterion boundary</t>
        </is>
      </c>
      <c r="E11" s="4" t="inlineStr">
        <is>
          <t>gastric</t>
        </is>
      </c>
      <c r="F11" s="4" t="n">
        <v>1.8</v>
      </c>
      <c r="H11" s="4" t="inlineStr">
        <is>
          <t>IV</t>
        </is>
      </c>
      <c r="I11" s="4" t="n">
        <v>1</v>
      </c>
      <c r="J11" s="4" t="n">
        <v>1</v>
      </c>
      <c r="L11" s="4" t="inlineStr">
        <is>
          <t>3</t>
        </is>
      </c>
      <c r="M11" s="4" t="n">
        <v>0.7</v>
      </c>
      <c r="N11" s="4" t="n">
        <v>0.8</v>
      </c>
    </row>
    <row r="12">
      <c r="A12" s="4" t="inlineStr">
        <is>
          <t>FearonBMI</t>
        </is>
      </c>
      <c r="B12" s="4" t="n">
        <v>20</v>
      </c>
      <c r="C12" s="4" t="inlineStr">
        <is>
          <t>Implemented criterion boundary</t>
        </is>
      </c>
      <c r="E12" s="4" t="inlineStr">
        <is>
          <t>pancreatic</t>
        </is>
      </c>
      <c r="F12" s="4" t="n">
        <v>2</v>
      </c>
      <c r="H12" s="4" t="inlineStr">
        <is>
          <t>unknown</t>
        </is>
      </c>
      <c r="I12" s="4" t="n">
        <v>0</v>
      </c>
      <c r="J12" s="4" t="n">
        <v>0</v>
      </c>
      <c r="L12" s="4" t="inlineStr">
        <is>
          <t>4</t>
        </is>
      </c>
      <c r="M12" s="4" t="n">
        <v>1</v>
      </c>
      <c r="N12" s="4" t="n">
        <v>1.1</v>
      </c>
    </row>
    <row r="13">
      <c r="A13" s="4" t="inlineStr">
        <is>
          <t>PreLower</t>
        </is>
      </c>
      <c r="B13" s="4" t="n">
        <v>1</v>
      </c>
      <c r="C13" s="4" t="inlineStr">
        <is>
          <t>PROVISIONAL — review required</t>
        </is>
      </c>
      <c r="E13" s="4" t="inlineStr">
        <is>
          <t>hepatobiliary</t>
        </is>
      </c>
      <c r="F13" s="4" t="n">
        <v>2</v>
      </c>
      <c r="L13" s="4" t="inlineStr">
        <is>
          <t>unknown</t>
        </is>
      </c>
      <c r="M13" s="4" t="n">
        <v>0</v>
      </c>
      <c r="N13" s="4" t="n">
        <v>0</v>
      </c>
    </row>
    <row r="14">
      <c r="A14" s="4" t="inlineStr">
        <is>
          <t>PreUpper</t>
        </is>
      </c>
      <c r="B14" s="4" t="n">
        <v>5</v>
      </c>
      <c r="C14" s="4" t="inlineStr">
        <is>
          <t>PROVISIONAL — review required</t>
        </is>
      </c>
      <c r="E14" s="4" t="inlineStr">
        <is>
          <t>head and neck</t>
        </is>
      </c>
      <c r="F14" s="4" t="n">
        <v>1.6</v>
      </c>
    </row>
    <row r="15">
      <c r="A15" s="4" t="inlineStr">
        <is>
          <t>AgeThreshold</t>
        </is>
      </c>
      <c r="B15" s="4" t="n">
        <v>55</v>
      </c>
      <c r="C15" s="4" t="inlineStr">
        <is>
          <t>Simulation assumption</t>
        </is>
      </c>
      <c r="E15" s="4" t="inlineStr">
        <is>
          <t>breast</t>
        </is>
      </c>
      <c r="F15" s="4" t="n">
        <v>1</v>
      </c>
    </row>
    <row r="16">
      <c r="A16" s="4" t="inlineStr">
        <is>
          <t>CategoryLowUpper</t>
        </is>
      </c>
      <c r="B16" s="4" t="n">
        <v>-0.8472978603872036</v>
      </c>
      <c r="C16" s="4" t="inlineStr">
        <is>
          <t>Internal category boundary</t>
        </is>
      </c>
      <c r="E16" s="4" t="inlineStr">
        <is>
          <t>prostate</t>
        </is>
      </c>
      <c r="F16" s="4" t="n">
        <v>1</v>
      </c>
    </row>
    <row r="17">
      <c r="A17" s="4" t="inlineStr">
        <is>
          <t>CategoryHighLower</t>
        </is>
      </c>
      <c r="B17" s="4" t="n">
        <v>0.4054651081081642</v>
      </c>
      <c r="C17" s="4" t="inlineStr">
        <is>
          <t>Internal category boundary</t>
        </is>
      </c>
      <c r="E17" s="4" t="inlineStr">
        <is>
          <t>other solid tumour</t>
        </is>
      </c>
      <c r="F17" s="4" t="n">
        <v>1</v>
      </c>
    </row>
    <row r="18">
      <c r="A18" s="4" t="inlineStr">
        <is>
          <t>WeightMin</t>
        </is>
      </c>
      <c r="B18" s="4" t="n">
        <v>25</v>
      </c>
      <c r="C18" s="4" t="inlineStr">
        <is>
          <t>Input validation bound</t>
        </is>
      </c>
    </row>
    <row r="19">
      <c r="A19" s="4" t="inlineStr">
        <is>
          <t>WeightMax</t>
        </is>
      </c>
      <c r="B19" s="4" t="n">
        <v>160</v>
      </c>
      <c r="C19" s="4" t="inlineStr">
        <is>
          <t>Input validation bound</t>
        </is>
      </c>
    </row>
    <row r="20">
      <c r="A20" s="4" t="inlineStr">
        <is>
          <t>Category3Intercept</t>
        </is>
      </c>
      <c r="B20" s="4" t="n">
        <v>-2</v>
      </c>
      <c r="C20" s="4" t="inlineStr">
        <is>
          <t>Simulation assumption</t>
        </is>
      </c>
    </row>
    <row r="21">
      <c r="A21" s="5" t="inlineStr">
        <is>
          <t>Category3Age</t>
        </is>
      </c>
      <c r="B21" s="5" t="n">
        <v>0.25</v>
      </c>
      <c r="C21" s="5" t="inlineStr">
        <is>
          <t>Simulation assumption</t>
        </is>
      </c>
    </row>
    <row r="22">
      <c r="A22" s="4" t="inlineStr">
        <is>
          <t>Category3Loss</t>
        </is>
      </c>
      <c r="B22" s="4" t="n">
        <v>0.13</v>
      </c>
      <c r="C22" s="4" t="inlineStr">
        <is>
          <t>Simulation assumption</t>
        </is>
      </c>
    </row>
    <row r="23">
      <c r="A23" s="5" t="inlineStr">
        <is>
          <t>Category3BMI</t>
        </is>
      </c>
      <c r="B23" s="5" t="n">
        <v>0.45</v>
      </c>
      <c r="C23" s="5" t="inlineStr">
        <is>
          <t>Simulation assumption</t>
        </is>
      </c>
    </row>
    <row r="24">
      <c r="A24" s="4" t="inlineStr">
        <is>
          <t>Category3Cancer</t>
        </is>
      </c>
      <c r="B24" s="4" t="n">
        <v>1</v>
      </c>
      <c r="C24" s="4" t="inlineStr">
        <is>
          <t>Simulation assumption</t>
        </is>
      </c>
    </row>
    <row r="25">
      <c r="A25" s="4" t="inlineStr">
        <is>
          <t>Category6Intercept</t>
        </is>
      </c>
      <c r="B25" s="4" t="n">
        <v>-1.45</v>
      </c>
      <c r="C25" s="4" t="inlineStr">
        <is>
          <t>Simulation assumption</t>
        </is>
      </c>
    </row>
    <row r="26">
      <c r="A26" s="4" t="inlineStr">
        <is>
          <t>Category6Age</t>
        </is>
      </c>
      <c r="B26" s="4" t="n">
        <v>0.3</v>
      </c>
      <c r="C26" s="4" t="inlineStr">
        <is>
          <t>Simulation assumption</t>
        </is>
      </c>
    </row>
    <row r="27">
      <c r="A27" s="4" t="inlineStr">
        <is>
          <t>Category6Loss</t>
        </is>
      </c>
      <c r="B27" s="4" t="n">
        <v>0.15</v>
      </c>
      <c r="C27" s="4" t="inlineStr">
        <is>
          <t>Simulation assumption</t>
        </is>
      </c>
    </row>
    <row r="28">
      <c r="A28" s="4" t="inlineStr">
        <is>
          <t>Category6BMI</t>
        </is>
      </c>
      <c r="B28" s="4" t="n">
        <v>0.5</v>
      </c>
      <c r="C28" s="4" t="inlineStr">
        <is>
          <t>Simulation assumption</t>
        </is>
      </c>
    </row>
    <row r="29">
      <c r="A29" s="4" t="inlineStr">
        <is>
          <t>Category6Cancer</t>
        </is>
      </c>
      <c r="B29" s="4" t="n">
        <v>1</v>
      </c>
      <c r="C29" s="4" t="inlineStr">
        <is>
          <t>Simulation assumption</t>
        </is>
      </c>
    </row>
  </sheetData>
  <mergeCells count="3">
    <mergeCell ref="A2:H2"/>
    <mergeCell ref="A4:H5"/>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127"/>
  <sheetViews>
    <sheetView workbookViewId="0">
      <pane ySplit="7" topLeftCell="A8" activePane="bottomLeft" state="frozen"/>
      <selection pane="bottomLeft" activeCell="A1" sqref="A1"/>
    </sheetView>
  </sheetViews>
  <sheetFormatPr baseColWidth="8" defaultRowHeight="15"/>
  <cols>
    <col width="2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s>
  <sheetData>
    <row r="1" ht="32" customHeight="1">
      <c r="A1" s="1" t="inlineStr">
        <is>
          <t>Generated synthetic cohort</t>
        </is>
      </c>
    </row>
    <row r="2" ht="34" customHeight="1">
      <c r="A2" s="2" t="inlineStr">
        <is>
          <t>For plausibility review only; counts do not estimate prevalence.</t>
        </is>
      </c>
    </row>
    <row r="3"/>
    <row r="4" ht="34" customHeight="1">
      <c r="A4" s="3" t="inlineStr">
        <is>
          <t>NOT FOR CLINICAL USE. All patients and outputs are synthetic. Category relationships are simulation assumptions, not clinically validated effects. Do not use for diagnosis, prognosis, treatment, patient care, or medical decisions.</t>
        </is>
      </c>
    </row>
    <row r="5"/>
    <row r="6"/>
    <row r="7">
      <c r="A7" s="5" t="inlineStr">
        <is>
          <t>patient_id</t>
        </is>
      </c>
      <c r="B7" s="5" t="inlineStr">
        <is>
          <t>prediction_date</t>
        </is>
      </c>
      <c r="C7" s="5" t="inlineStr">
        <is>
          <t>age</t>
        </is>
      </c>
      <c r="D7" s="5" t="inlineStr">
        <is>
          <t>sex</t>
        </is>
      </c>
      <c r="E7" s="5" t="inlineStr">
        <is>
          <t>cancer_type</t>
        </is>
      </c>
      <c r="F7" s="5" t="inlineStr">
        <is>
          <t>cancer_stage</t>
        </is>
      </c>
      <c r="G7" s="5" t="inlineStr">
        <is>
          <t>height_cm</t>
        </is>
      </c>
      <c r="H7" s="5" t="inlineStr">
        <is>
          <t>ecog</t>
        </is>
      </c>
      <c r="I7" s="5" t="inlineStr">
        <is>
          <t>reduced_appetite</t>
        </is>
      </c>
      <c r="J7" s="5" t="inlineStr">
        <is>
          <t>sarcopenia</t>
        </is>
      </c>
      <c r="K7" s="5" t="inlineStr">
        <is>
          <t>baseline_bmi</t>
        </is>
      </c>
      <c r="L7" s="5" t="inlineStr">
        <is>
          <t>baseline_loss_percent</t>
        </is>
      </c>
      <c r="M7" s="5" t="inlineStr">
        <is>
          <t>baseline_cachexia_status</t>
        </is>
      </c>
      <c r="N7" s="5" t="inlineStr">
        <is>
          <t>baseline_precachexia_status</t>
        </is>
      </c>
      <c r="O7" s="5" t="inlineStr">
        <is>
          <t>outcome_3m_threshold_status</t>
        </is>
      </c>
      <c r="P7" s="5" t="inlineStr">
        <is>
          <t>outcome_3m_fearon_classification</t>
        </is>
      </c>
      <c r="Q7" s="5" t="inlineStr">
        <is>
          <t>outcome_3m_interval_days</t>
        </is>
      </c>
      <c r="R7" s="5" t="inlineStr">
        <is>
          <t>outcome_3m_precachexia</t>
        </is>
      </c>
      <c r="S7" s="5" t="inlineStr">
        <is>
          <t>outcome_3m_basis</t>
        </is>
      </c>
      <c r="T7" s="5" t="inlineStr">
        <is>
          <t>category_3m</t>
        </is>
      </c>
      <c r="U7" s="5" t="inlineStr">
        <is>
          <t>category_3m_basis</t>
        </is>
      </c>
      <c r="V7" s="5" t="inlineStr">
        <is>
          <t>category_3m_status</t>
        </is>
      </c>
      <c r="W7" s="5" t="inlineStr">
        <is>
          <t>category_3m_target_outcome</t>
        </is>
      </c>
      <c r="X7" s="5" t="inlineStr">
        <is>
          <t>outcome_6m_threshold_status</t>
        </is>
      </c>
      <c r="Y7" s="5" t="inlineStr">
        <is>
          <t>outcome_6m_fearon_classification</t>
        </is>
      </c>
      <c r="Z7" s="5" t="inlineStr">
        <is>
          <t>outcome_6m_interval_days</t>
        </is>
      </c>
      <c r="AA7" s="5" t="inlineStr">
        <is>
          <t>outcome_6m_precachexia</t>
        </is>
      </c>
      <c r="AB7" s="5" t="inlineStr">
        <is>
          <t>outcome_6m_basis</t>
        </is>
      </c>
      <c r="AC7" s="5" t="inlineStr">
        <is>
          <t>category_6m</t>
        </is>
      </c>
      <c r="AD7" s="5" t="inlineStr">
        <is>
          <t>category_6m_basis</t>
        </is>
      </c>
      <c r="AE7" s="5" t="inlineStr">
        <is>
          <t>category_6m_status</t>
        </is>
      </c>
      <c r="AF7" s="5" t="inlineStr">
        <is>
          <t>category_6m_target_outcome</t>
        </is>
      </c>
      <c r="AG7" s="5" t="inlineStr">
        <is>
          <t>edge_case</t>
        </is>
      </c>
    </row>
    <row r="8">
      <c r="A8" s="4" t="inlineStr">
        <is>
          <t>SYN-20260820-0001</t>
        </is>
      </c>
      <c r="B8" s="4" t="inlineStr">
        <is>
          <t>2026-01-15</t>
        </is>
      </c>
      <c r="C8" s="4" t="n">
        <v>87</v>
      </c>
      <c r="D8" s="4" t="inlineStr">
        <is>
          <t>male</t>
        </is>
      </c>
      <c r="E8" s="4" t="inlineStr">
        <is>
          <t>gastric</t>
        </is>
      </c>
      <c r="F8" s="4" t="inlineStr">
        <is>
          <t>IV</t>
        </is>
      </c>
      <c r="G8" s="4" t="n">
        <v>165.4</v>
      </c>
      <c r="H8" s="4" t="inlineStr">
        <is>
          <t>unknown</t>
        </is>
      </c>
      <c r="I8" s="4" t="inlineStr">
        <is>
          <t>unknown</t>
        </is>
      </c>
      <c r="J8" s="4" t="inlineStr">
        <is>
          <t>no</t>
        </is>
      </c>
      <c r="K8" s="4" t="n">
        <v>40.95125371200811</v>
      </c>
      <c r="M8" s="4" t="inlineStr">
        <is>
          <t>unknown</t>
        </is>
      </c>
      <c r="N8" s="4" t="inlineStr">
        <is>
          <t>unknown</t>
        </is>
      </c>
      <c r="O8" s="4" t="inlineStr">
        <is>
          <t>unknown</t>
        </is>
      </c>
      <c r="P8" s="4" t="b">
        <v>0</v>
      </c>
      <c r="Q8" s="4" t="n">
        <v>90</v>
      </c>
      <c r="R8" s="4" t="inlineStr">
        <is>
          <t>unknown</t>
        </is>
      </c>
      <c r="S8" s="4" t="inlineStr">
        <is>
          <t>observed_synthetic_follow_up</t>
        </is>
      </c>
      <c r="T8" s="4" t="inlineStr">
        <is>
          <t>withheld</t>
        </is>
      </c>
      <c r="U8" s="4" t="inlineStr">
        <is>
          <t>baseline_predictors_only</t>
        </is>
      </c>
      <c r="V8" s="4" t="inlineStr">
        <is>
          <t>withheld_missing_required_baseline_predictors</t>
        </is>
      </c>
      <c r="W8" s="4" t="inlineStr">
        <is>
          <t>not_defined_pending_clinical_review</t>
        </is>
      </c>
      <c r="X8" s="4" t="inlineStr">
        <is>
          <t>unknown</t>
        </is>
      </c>
      <c r="Y8" s="4" t="b">
        <v>0</v>
      </c>
      <c r="Z8" s="4" t="n">
        <v>181</v>
      </c>
      <c r="AA8" s="4" t="inlineStr">
        <is>
          <t>unknown</t>
        </is>
      </c>
      <c r="AB8" s="4" t="inlineStr">
        <is>
          <t>observed_synthetic_follow_up</t>
        </is>
      </c>
      <c r="AC8" s="4" t="inlineStr">
        <is>
          <t>withheld</t>
        </is>
      </c>
      <c r="AD8" s="4" t="inlineStr">
        <is>
          <t>baseline_predictors_only</t>
        </is>
      </c>
      <c r="AE8" s="4" t="inlineStr">
        <is>
          <t>withheld_missing_required_baseline_predictors</t>
        </is>
      </c>
      <c r="AF8" s="4" t="inlineStr">
        <is>
          <t>not_defined_pending_clinical_review</t>
        </is>
      </c>
      <c r="AG8" s="4" t="inlineStr">
        <is>
          <t>unknown_fields</t>
        </is>
      </c>
    </row>
    <row r="9">
      <c r="A9" s="4" t="inlineStr">
        <is>
          <t>SYN-20260820-0002</t>
        </is>
      </c>
      <c r="B9" s="4" t="inlineStr">
        <is>
          <t>2026-01-16</t>
        </is>
      </c>
      <c r="C9" s="4" t="n">
        <v>84</v>
      </c>
      <c r="D9" s="4" t="inlineStr">
        <is>
          <t>female</t>
        </is>
      </c>
      <c r="E9" s="4" t="inlineStr">
        <is>
          <t>head and neck</t>
        </is>
      </c>
      <c r="F9" s="4" t="inlineStr">
        <is>
          <t>III</t>
        </is>
      </c>
      <c r="G9" s="4" t="n">
        <v>167.9</v>
      </c>
      <c r="H9" s="4" t="n">
        <v>2</v>
      </c>
      <c r="I9" s="4" t="inlineStr">
        <is>
          <t>no</t>
        </is>
      </c>
      <c r="J9" s="4" t="inlineStr">
        <is>
          <t>unknown</t>
        </is>
      </c>
      <c r="K9" s="4" t="n">
        <v>38.10976853476058</v>
      </c>
      <c r="M9" s="4" t="inlineStr">
        <is>
          <t>unknown</t>
        </is>
      </c>
      <c r="N9" s="4" t="inlineStr">
        <is>
          <t>unknown</t>
        </is>
      </c>
      <c r="O9" s="4" t="inlineStr">
        <is>
          <t>no</t>
        </is>
      </c>
      <c r="P9" s="4" t="b">
        <v>0</v>
      </c>
      <c r="Q9" s="4" t="n">
        <v>90</v>
      </c>
      <c r="R9" s="4" t="inlineStr">
        <is>
          <t>no</t>
        </is>
      </c>
      <c r="S9" s="4" t="inlineStr">
        <is>
          <t>observed_synthetic_follow_up</t>
        </is>
      </c>
      <c r="T9" s="4" t="inlineStr">
        <is>
          <t>withheld</t>
        </is>
      </c>
      <c r="U9" s="4" t="inlineStr">
        <is>
          <t>baseline_predictors_only</t>
        </is>
      </c>
      <c r="V9" s="4" t="inlineStr">
        <is>
          <t>withheld_missing_required_baseline_predictors</t>
        </is>
      </c>
      <c r="W9" s="4" t="inlineStr">
        <is>
          <t>not_defined_pending_clinical_review</t>
        </is>
      </c>
      <c r="X9" s="4" t="inlineStr">
        <is>
          <t>unknown</t>
        </is>
      </c>
      <c r="Y9" s="4" t="b">
        <v>0</v>
      </c>
      <c r="Z9" s="4" t="n">
        <v>181</v>
      </c>
      <c r="AA9" s="4" t="inlineStr">
        <is>
          <t>unknown</t>
        </is>
      </c>
      <c r="AB9" s="4" t="inlineStr">
        <is>
          <t>observed_synthetic_follow_up</t>
        </is>
      </c>
      <c r="AC9" s="4" t="inlineStr">
        <is>
          <t>withheld</t>
        </is>
      </c>
      <c r="AD9" s="4" t="inlineStr">
        <is>
          <t>baseline_predictors_only</t>
        </is>
      </c>
      <c r="AE9" s="4" t="inlineStr">
        <is>
          <t>withheld_missing_required_baseline_predictors</t>
        </is>
      </c>
      <c r="AF9" s="4" t="inlineStr">
        <is>
          <t>not_defined_pending_clinical_review</t>
        </is>
      </c>
      <c r="AG9" s="4" t="inlineStr">
        <is>
          <t>insufficient_history</t>
        </is>
      </c>
    </row>
    <row r="10">
      <c r="A10" s="4" t="inlineStr">
        <is>
          <t>SYN-20260820-0003</t>
        </is>
      </c>
      <c r="B10" s="4" t="inlineStr">
        <is>
          <t>2026-01-17</t>
        </is>
      </c>
      <c r="C10" s="4" t="n">
        <v>68</v>
      </c>
      <c r="D10" s="4" t="inlineStr">
        <is>
          <t>female</t>
        </is>
      </c>
      <c r="E10" s="4" t="inlineStr">
        <is>
          <t>breast</t>
        </is>
      </c>
      <c r="F10" s="4" t="inlineStr">
        <is>
          <t>III</t>
        </is>
      </c>
      <c r="G10" s="4" t="n">
        <v>164.5</v>
      </c>
      <c r="H10" s="4" t="n">
        <v>1</v>
      </c>
      <c r="I10" s="4" t="inlineStr">
        <is>
          <t>no</t>
        </is>
      </c>
      <c r="J10" s="4" t="inlineStr">
        <is>
          <t>no</t>
        </is>
      </c>
      <c r="K10" s="4" t="n">
        <v>23.85085134098909</v>
      </c>
      <c r="L10" s="4" t="n">
        <v>-3.092783505154642</v>
      </c>
      <c r="M10" s="4" t="inlineStr">
        <is>
          <t>no</t>
        </is>
      </c>
      <c r="N10" s="4" t="inlineStr">
        <is>
          <t>no</t>
        </is>
      </c>
      <c r="O10" s="4" t="inlineStr">
        <is>
          <t>no</t>
        </is>
      </c>
      <c r="P10" s="4" t="b">
        <v>0</v>
      </c>
      <c r="Q10" s="4" t="n">
        <v>90</v>
      </c>
      <c r="R10" s="4" t="inlineStr">
        <is>
          <t>no</t>
        </is>
      </c>
      <c r="S10" s="4" t="inlineStr">
        <is>
          <t>observed_synthetic_follow_up</t>
        </is>
      </c>
      <c r="T10" s="4" t="inlineStr">
        <is>
          <t>low</t>
        </is>
      </c>
      <c r="U10" s="4" t="inlineStr">
        <is>
          <t>baseline_predictors_only</t>
        </is>
      </c>
      <c r="V10" s="4" t="inlineStr">
        <is>
          <t>research_only_not_clinically_validated</t>
        </is>
      </c>
      <c r="W10" s="4" t="inlineStr">
        <is>
          <t>not_defined_pending_clinical_review</t>
        </is>
      </c>
      <c r="X10" s="4" t="inlineStr">
        <is>
          <t>unknown</t>
        </is>
      </c>
      <c r="Y10" s="4" t="b">
        <v>0</v>
      </c>
      <c r="Z10" s="4" t="n">
        <v>181</v>
      </c>
      <c r="AA10" s="4" t="inlineStr">
        <is>
          <t>unknown</t>
        </is>
      </c>
      <c r="AB10" s="4" t="inlineStr">
        <is>
          <t>observed_synthetic_follow_up</t>
        </is>
      </c>
      <c r="AC10" s="4" t="inlineStr">
        <is>
          <t>moderate</t>
        </is>
      </c>
      <c r="AD10" s="4" t="inlineStr">
        <is>
          <t>baseline_predictors_only</t>
        </is>
      </c>
      <c r="AE10" s="4" t="inlineStr">
        <is>
          <t>research_only_not_clinically_validated</t>
        </is>
      </c>
      <c r="AF10" s="4" t="inlineStr">
        <is>
          <t>not_defined_pending_clinical_review</t>
        </is>
      </c>
      <c r="AG10" s="4" t="inlineStr">
        <is>
          <t>baseline_weight_gain</t>
        </is>
      </c>
    </row>
    <row r="11">
      <c r="A11" s="4" t="inlineStr">
        <is>
          <t>SYN-20260820-0004</t>
        </is>
      </c>
      <c r="B11" s="4" t="inlineStr">
        <is>
          <t>2026-01-18</t>
        </is>
      </c>
      <c r="C11" s="4" t="n">
        <v>73</v>
      </c>
      <c r="D11" s="4" t="inlineStr">
        <is>
          <t>male</t>
        </is>
      </c>
      <c r="E11" s="4" t="inlineStr">
        <is>
          <t>head and neck</t>
        </is>
      </c>
      <c r="F11" s="4" t="inlineStr">
        <is>
          <t>I</t>
        </is>
      </c>
      <c r="G11" s="4" t="n">
        <v>176.8</v>
      </c>
      <c r="H11" s="4" t="n">
        <v>2</v>
      </c>
      <c r="I11" s="4" t="inlineStr">
        <is>
          <t>unknown</t>
        </is>
      </c>
      <c r="J11" s="4" t="inlineStr">
        <is>
          <t>unknown</t>
        </is>
      </c>
      <c r="K11" s="4" t="n">
        <v>26.25963585921664</v>
      </c>
      <c r="L11" s="4" t="n">
        <v>0</v>
      </c>
      <c r="M11" s="4" t="inlineStr">
        <is>
          <t>no</t>
        </is>
      </c>
      <c r="N11" s="4" t="inlineStr">
        <is>
          <t>no</t>
        </is>
      </c>
      <c r="O11" s="4" t="inlineStr">
        <is>
          <t>no</t>
        </is>
      </c>
      <c r="P11" s="4" t="b">
        <v>0</v>
      </c>
      <c r="Q11" s="4" t="n">
        <v>90</v>
      </c>
      <c r="R11" s="4" t="inlineStr">
        <is>
          <t>no</t>
        </is>
      </c>
      <c r="S11" s="4" t="inlineStr">
        <is>
          <t>observed_synthetic_follow_up</t>
        </is>
      </c>
      <c r="T11" s="4" t="inlineStr">
        <is>
          <t>withheld</t>
        </is>
      </c>
      <c r="U11" s="4" t="inlineStr">
        <is>
          <t>baseline_predictors_only</t>
        </is>
      </c>
      <c r="V11" s="4" t="inlineStr">
        <is>
          <t>withheld_missing_required_baseline_predictors</t>
        </is>
      </c>
      <c r="W11" s="4" t="inlineStr">
        <is>
          <t>not_defined_pending_clinical_review</t>
        </is>
      </c>
      <c r="X11" s="4" t="inlineStr">
        <is>
          <t>no</t>
        </is>
      </c>
      <c r="Y11" s="4" t="b">
        <v>0</v>
      </c>
      <c r="Z11" s="4" t="n">
        <v>181</v>
      </c>
      <c r="AA11" s="4" t="inlineStr">
        <is>
          <t>no</t>
        </is>
      </c>
      <c r="AB11" s="4" t="inlineStr">
        <is>
          <t>observed_synthetic_follow_up</t>
        </is>
      </c>
      <c r="AC11" s="4" t="inlineStr">
        <is>
          <t>withheld</t>
        </is>
      </c>
      <c r="AD11" s="4" t="inlineStr">
        <is>
          <t>baseline_predictors_only</t>
        </is>
      </c>
      <c r="AE11" s="4" t="inlineStr">
        <is>
          <t>withheld_missing_required_baseline_predictors</t>
        </is>
      </c>
      <c r="AF11" s="4" t="inlineStr">
        <is>
          <t>not_defined_pending_clinical_review</t>
        </is>
      </c>
      <c r="AG11" s="4" t="inlineStr">
        <is>
          <t>baseline_stability</t>
        </is>
      </c>
    </row>
    <row r="12">
      <c r="A12" s="4" t="inlineStr">
        <is>
          <t>SYN-20260820-0005</t>
        </is>
      </c>
      <c r="B12" s="4" t="inlineStr">
        <is>
          <t>2026-01-19</t>
        </is>
      </c>
      <c r="C12" s="4" t="n">
        <v>61</v>
      </c>
      <c r="D12" s="4" t="inlineStr">
        <is>
          <t>male</t>
        </is>
      </c>
      <c r="E12" s="4" t="inlineStr">
        <is>
          <t>prostate</t>
        </is>
      </c>
      <c r="F12" s="4" t="inlineStr">
        <is>
          <t>III</t>
        </is>
      </c>
      <c r="G12" s="4" t="n">
        <v>156.2</v>
      </c>
      <c r="H12" s="4" t="n">
        <v>2</v>
      </c>
      <c r="I12" s="4" t="inlineStr">
        <is>
          <t>yes</t>
        </is>
      </c>
      <c r="J12" s="4" t="inlineStr">
        <is>
          <t>yes</t>
        </is>
      </c>
      <c r="K12" s="4" t="n">
        <v>23.39370877810221</v>
      </c>
      <c r="L12" s="4" t="n">
        <v>3.000000000000001</v>
      </c>
      <c r="M12" s="4" t="inlineStr">
        <is>
          <t>unknown</t>
        </is>
      </c>
      <c r="N12" s="4" t="inlineStr">
        <is>
          <t>unknown</t>
        </is>
      </c>
      <c r="O12" s="4" t="inlineStr">
        <is>
          <t>unknown</t>
        </is>
      </c>
      <c r="P12" s="4" t="b">
        <v>0</v>
      </c>
      <c r="Q12" s="4" t="n">
        <v>90</v>
      </c>
      <c r="R12" s="4" t="inlineStr">
        <is>
          <t>unknown</t>
        </is>
      </c>
      <c r="S12" s="4" t="inlineStr">
        <is>
          <t>observed_synthetic_follow_up</t>
        </is>
      </c>
      <c r="T12" s="4" t="inlineStr">
        <is>
          <t>moderate</t>
        </is>
      </c>
      <c r="U12" s="4" t="inlineStr">
        <is>
          <t>baseline_predictors_only</t>
        </is>
      </c>
      <c r="V12" s="4" t="inlineStr">
        <is>
          <t>research_only_not_clinically_validated</t>
        </is>
      </c>
      <c r="W12" s="4" t="inlineStr">
        <is>
          <t>not_defined_pending_clinical_review</t>
        </is>
      </c>
      <c r="X12" s="4" t="inlineStr">
        <is>
          <t>unknown</t>
        </is>
      </c>
      <c r="Y12" s="4" t="b">
        <v>0</v>
      </c>
      <c r="Z12" s="4" t="n">
        <v>181</v>
      </c>
      <c r="AA12" s="4" t="inlineStr">
        <is>
          <t>unknown</t>
        </is>
      </c>
      <c r="AB12" s="4" t="inlineStr">
        <is>
          <t>observed_synthetic_follow_up</t>
        </is>
      </c>
      <c r="AC12" s="4" t="inlineStr">
        <is>
          <t>high</t>
        </is>
      </c>
      <c r="AD12" s="4" t="inlineStr">
        <is>
          <t>baseline_predictors_only</t>
        </is>
      </c>
      <c r="AE12" s="4" t="inlineStr">
        <is>
          <t>research_only_not_clinically_validated</t>
        </is>
      </c>
      <c r="AF12" s="4" t="inlineStr">
        <is>
          <t>not_defined_pending_clinical_review</t>
        </is>
      </c>
      <c r="AG12" s="4" t="inlineStr">
        <is>
          <t>limited_loss_with_appetite</t>
        </is>
      </c>
    </row>
    <row r="13">
      <c r="A13" s="4" t="inlineStr">
        <is>
          <t>SYN-20260820-0006</t>
        </is>
      </c>
      <c r="B13" s="4" t="inlineStr">
        <is>
          <t>2026-01-20</t>
        </is>
      </c>
      <c r="C13" s="4" t="n">
        <v>68</v>
      </c>
      <c r="D13" s="4" t="inlineStr">
        <is>
          <t>male</t>
        </is>
      </c>
      <c r="E13" s="4" t="inlineStr">
        <is>
          <t>oesophageal</t>
        </is>
      </c>
      <c r="F13" s="4" t="inlineStr">
        <is>
          <t>I</t>
        </is>
      </c>
      <c r="G13" s="4" t="n">
        <v>178.4</v>
      </c>
      <c r="H13" s="4" t="n">
        <v>2</v>
      </c>
      <c r="I13" s="4" t="inlineStr">
        <is>
          <t>no</t>
        </is>
      </c>
      <c r="J13" s="4" t="inlineStr">
        <is>
          <t>no</t>
        </is>
      </c>
      <c r="K13" s="4" t="n">
        <v>21.52604617024272</v>
      </c>
      <c r="L13" s="4" t="n">
        <v>6.000000000000004</v>
      </c>
      <c r="M13" s="4" t="inlineStr">
        <is>
          <t>yes</t>
        </is>
      </c>
      <c r="N13" s="4" t="inlineStr">
        <is>
          <t>no</t>
        </is>
      </c>
      <c r="O13" s="4" t="inlineStr">
        <is>
          <t>no</t>
        </is>
      </c>
      <c r="P13" s="4" t="b">
        <v>0</v>
      </c>
      <c r="Q13" s="4" t="n">
        <v>90</v>
      </c>
      <c r="R13" s="4" t="inlineStr">
        <is>
          <t>no</t>
        </is>
      </c>
      <c r="S13" s="4" t="inlineStr">
        <is>
          <t>observed_synthetic_follow_up</t>
        </is>
      </c>
      <c r="T13" s="4" t="inlineStr">
        <is>
          <t>moderate</t>
        </is>
      </c>
      <c r="U13" s="4" t="inlineStr">
        <is>
          <t>baseline_predictors_only</t>
        </is>
      </c>
      <c r="V13" s="4" t="inlineStr">
        <is>
          <t>research_only_not_clinically_validated</t>
        </is>
      </c>
      <c r="W13" s="4" t="inlineStr">
        <is>
          <t>not_defined_pending_clinical_review</t>
        </is>
      </c>
      <c r="X13" s="4" t="inlineStr">
        <is>
          <t>unknown</t>
        </is>
      </c>
      <c r="Y13" s="4" t="b">
        <v>0</v>
      </c>
      <c r="Z13" s="4" t="n">
        <v>181</v>
      </c>
      <c r="AA13" s="4" t="inlineStr">
        <is>
          <t>unknown</t>
        </is>
      </c>
      <c r="AB13" s="4" t="inlineStr">
        <is>
          <t>observed_synthetic_follow_up</t>
        </is>
      </c>
      <c r="AC13" s="4" t="inlineStr">
        <is>
          <t>high</t>
        </is>
      </c>
      <c r="AD13" s="4" t="inlineStr">
        <is>
          <t>baseline_predictors_only</t>
        </is>
      </c>
      <c r="AE13" s="4" t="inlineStr">
        <is>
          <t>research_only_not_clinically_validated</t>
        </is>
      </c>
      <c r="AF13" s="4" t="inlineStr">
        <is>
          <t>not_defined_pending_clinical_review</t>
        </is>
      </c>
      <c r="AG13" s="4" t="inlineStr">
        <is>
          <t>supported_cachexia_pattern</t>
        </is>
      </c>
    </row>
    <row r="14">
      <c r="A14" s="4" t="inlineStr">
        <is>
          <t>SYN-20260820-0007</t>
        </is>
      </c>
      <c r="B14" s="4" t="inlineStr">
        <is>
          <t>2026-01-21</t>
        </is>
      </c>
      <c r="C14" s="4" t="n">
        <v>44</v>
      </c>
      <c r="D14" s="4" t="inlineStr">
        <is>
          <t>female</t>
        </is>
      </c>
      <c r="E14" s="4" t="inlineStr">
        <is>
          <t>lung</t>
        </is>
      </c>
      <c r="F14" s="4" t="inlineStr">
        <is>
          <t>IV</t>
        </is>
      </c>
      <c r="G14" s="4" t="n">
        <v>170</v>
      </c>
      <c r="H14" s="4" t="n">
        <v>3</v>
      </c>
      <c r="I14" s="4" t="inlineStr">
        <is>
          <t>yes</t>
        </is>
      </c>
      <c r="J14" s="4" t="inlineStr">
        <is>
          <t>no</t>
        </is>
      </c>
      <c r="K14" s="4" t="n">
        <v>20</v>
      </c>
      <c r="L14" s="4" t="n">
        <v>2.000000000000001</v>
      </c>
      <c r="M14" s="4" t="inlineStr">
        <is>
          <t>unknown</t>
        </is>
      </c>
      <c r="N14" s="4" t="inlineStr">
        <is>
          <t>unknown</t>
        </is>
      </c>
      <c r="O14" s="4" t="inlineStr">
        <is>
          <t>yes</t>
        </is>
      </c>
      <c r="P14" s="4" t="b">
        <v>0</v>
      </c>
      <c r="Q14" s="4" t="n">
        <v>90</v>
      </c>
      <c r="R14" s="4" t="inlineStr">
        <is>
          <t>no</t>
        </is>
      </c>
      <c r="S14" s="4" t="inlineStr">
        <is>
          <t>observed_synthetic_follow_up</t>
        </is>
      </c>
      <c r="T14" s="4" t="inlineStr">
        <is>
          <t>high</t>
        </is>
      </c>
      <c r="U14" s="4" t="inlineStr">
        <is>
          <t>baseline_predictors_only</t>
        </is>
      </c>
      <c r="V14" s="4" t="inlineStr">
        <is>
          <t>research_only_not_clinically_validated</t>
        </is>
      </c>
      <c r="W14" s="4" t="inlineStr">
        <is>
          <t>not_defined_pending_clinical_review</t>
        </is>
      </c>
      <c r="X14" s="4" t="inlineStr">
        <is>
          <t>yes</t>
        </is>
      </c>
      <c r="Y14" s="4" t="b">
        <v>0</v>
      </c>
      <c r="Z14" s="4" t="n">
        <v>181</v>
      </c>
      <c r="AA14" s="4" t="inlineStr">
        <is>
          <t>no</t>
        </is>
      </c>
      <c r="AB14" s="4" t="inlineStr">
        <is>
          <t>observed_synthetic_follow_up</t>
        </is>
      </c>
      <c r="AC14" s="4" t="inlineStr">
        <is>
          <t>high</t>
        </is>
      </c>
      <c r="AD14" s="4" t="inlineStr">
        <is>
          <t>baseline_predictors_only</t>
        </is>
      </c>
      <c r="AE14" s="4" t="inlineStr">
        <is>
          <t>research_only_not_clinically_validated</t>
        </is>
      </c>
      <c r="AF14" s="4" t="inlineStr">
        <is>
          <t>not_defined_pending_clinical_review</t>
        </is>
      </c>
      <c r="AG14" s="4" t="inlineStr">
        <is>
          <t>bmi_20_weight_loss_2_boundary</t>
        </is>
      </c>
    </row>
    <row r="15">
      <c r="A15" s="4" t="inlineStr">
        <is>
          <t>SYN-20260820-0008</t>
        </is>
      </c>
      <c r="B15" s="4" t="inlineStr">
        <is>
          <t>2026-01-22</t>
        </is>
      </c>
      <c r="C15" s="4" t="n">
        <v>81</v>
      </c>
      <c r="D15" s="4" t="inlineStr">
        <is>
          <t>female</t>
        </is>
      </c>
      <c r="E15" s="4" t="inlineStr">
        <is>
          <t>hepatobiliary</t>
        </is>
      </c>
      <c r="F15" s="4" t="inlineStr">
        <is>
          <t>III</t>
        </is>
      </c>
      <c r="G15" s="4" t="n">
        <v>164.9</v>
      </c>
      <c r="H15" s="4" t="n">
        <v>3</v>
      </c>
      <c r="I15" s="4" t="inlineStr">
        <is>
          <t>yes</t>
        </is>
      </c>
      <c r="J15" s="4" t="inlineStr">
        <is>
          <t>no</t>
        </is>
      </c>
      <c r="K15" s="4" t="n">
        <v>24.38804634155401</v>
      </c>
      <c r="L15" s="4" t="n">
        <v>4.999999999999999</v>
      </c>
      <c r="M15" s="4" t="inlineStr">
        <is>
          <t>unknown</t>
        </is>
      </c>
      <c r="N15" s="4" t="inlineStr">
        <is>
          <t>unknown</t>
        </is>
      </c>
      <c r="O15" s="4" t="inlineStr">
        <is>
          <t>yes</t>
        </is>
      </c>
      <c r="P15" s="4" t="b">
        <v>0</v>
      </c>
      <c r="Q15" s="4" t="n">
        <v>90</v>
      </c>
      <c r="R15" s="4" t="inlineStr">
        <is>
          <t>no</t>
        </is>
      </c>
      <c r="S15" s="4" t="inlineStr">
        <is>
          <t>observed_synthetic_follow_up</t>
        </is>
      </c>
      <c r="T15" s="4" t="inlineStr">
        <is>
          <t>high</t>
        </is>
      </c>
      <c r="U15" s="4" t="inlineStr">
        <is>
          <t>baseline_predictors_only</t>
        </is>
      </c>
      <c r="V15" s="4" t="inlineStr">
        <is>
          <t>research_only_not_clinically_validated</t>
        </is>
      </c>
      <c r="W15" s="4" t="inlineStr">
        <is>
          <t>not_defined_pending_clinical_review</t>
        </is>
      </c>
      <c r="X15" s="4" t="inlineStr">
        <is>
          <t>yes</t>
        </is>
      </c>
      <c r="Y15" s="4" t="b">
        <v>0</v>
      </c>
      <c r="Z15" s="4" t="n">
        <v>181</v>
      </c>
      <c r="AA15" s="4" t="inlineStr">
        <is>
          <t>no</t>
        </is>
      </c>
      <c r="AB15" s="4" t="inlineStr">
        <is>
          <t>observed_synthetic_follow_up</t>
        </is>
      </c>
      <c r="AC15" s="4" t="inlineStr">
        <is>
          <t>high</t>
        </is>
      </c>
      <c r="AD15" s="4" t="inlineStr">
        <is>
          <t>baseline_predictors_only</t>
        </is>
      </c>
      <c r="AE15" s="4" t="inlineStr">
        <is>
          <t>research_only_not_clinically_validated</t>
        </is>
      </c>
      <c r="AF15" s="4" t="inlineStr">
        <is>
          <t>not_defined_pending_clinical_review</t>
        </is>
      </c>
      <c r="AG15" s="4" t="inlineStr">
        <is>
          <t>weight_loss_5_boundary</t>
        </is>
      </c>
    </row>
    <row r="16">
      <c r="A16" s="4" t="inlineStr">
        <is>
          <t>SYN-20260820-0009</t>
        </is>
      </c>
      <c r="B16" s="4" t="inlineStr">
        <is>
          <t>2026-01-23</t>
        </is>
      </c>
      <c r="C16" s="4" t="n">
        <v>36</v>
      </c>
      <c r="D16" s="4" t="inlineStr">
        <is>
          <t>female</t>
        </is>
      </c>
      <c r="E16" s="4" t="inlineStr">
        <is>
          <t>lung</t>
        </is>
      </c>
      <c r="F16" s="4" t="inlineStr">
        <is>
          <t>III</t>
        </is>
      </c>
      <c r="G16" s="4" t="n">
        <v>165.1</v>
      </c>
      <c r="H16" s="4" t="n">
        <v>2</v>
      </c>
      <c r="I16" s="4" t="inlineStr">
        <is>
          <t>unknown</t>
        </is>
      </c>
      <c r="J16" s="4" t="inlineStr">
        <is>
          <t>unknown</t>
        </is>
      </c>
      <c r="K16" s="4" t="n">
        <v>37.19163651345054</v>
      </c>
      <c r="M16" s="4" t="inlineStr">
        <is>
          <t>unknown</t>
        </is>
      </c>
      <c r="N16" s="4" t="inlineStr">
        <is>
          <t>unknown</t>
        </is>
      </c>
      <c r="O16" s="4" t="inlineStr">
        <is>
          <t>no</t>
        </is>
      </c>
      <c r="P16" s="4" t="b">
        <v>0</v>
      </c>
      <c r="Q16" s="4" t="n">
        <v>90</v>
      </c>
      <c r="R16" s="4" t="inlineStr">
        <is>
          <t>no</t>
        </is>
      </c>
      <c r="S16" s="4" t="inlineStr">
        <is>
          <t>observed_synthetic_follow_up</t>
        </is>
      </c>
      <c r="T16" s="4" t="inlineStr">
        <is>
          <t>withheld</t>
        </is>
      </c>
      <c r="U16" s="4" t="inlineStr">
        <is>
          <t>baseline_predictors_only</t>
        </is>
      </c>
      <c r="V16" s="4" t="inlineStr">
        <is>
          <t>withheld_missing_required_baseline_predictors</t>
        </is>
      </c>
      <c r="W16" s="4" t="inlineStr">
        <is>
          <t>not_defined_pending_clinical_review</t>
        </is>
      </c>
      <c r="X16" s="4" t="inlineStr">
        <is>
          <t>unknown</t>
        </is>
      </c>
      <c r="Y16" s="4" t="b">
        <v>0</v>
      </c>
      <c r="Z16" s="4" t="n">
        <v>181</v>
      </c>
      <c r="AA16" s="4" t="inlineStr">
        <is>
          <t>unknown</t>
        </is>
      </c>
      <c r="AB16" s="4" t="inlineStr">
        <is>
          <t>observed_synthetic_follow_up</t>
        </is>
      </c>
      <c r="AC16" s="4" t="inlineStr">
        <is>
          <t>withheld</t>
        </is>
      </c>
      <c r="AD16" s="4" t="inlineStr">
        <is>
          <t>baseline_predictors_only</t>
        </is>
      </c>
      <c r="AE16" s="4" t="inlineStr">
        <is>
          <t>withheld_missing_required_baseline_predictors</t>
        </is>
      </c>
      <c r="AF16" s="4" t="inlineStr">
        <is>
          <t>not_defined_pending_clinical_review</t>
        </is>
      </c>
    </row>
    <row r="17">
      <c r="A17" s="4" t="inlineStr">
        <is>
          <t>SYN-20260820-0010</t>
        </is>
      </c>
      <c r="B17" s="4" t="inlineStr">
        <is>
          <t>2026-01-24</t>
        </is>
      </c>
      <c r="C17" s="4" t="n">
        <v>54</v>
      </c>
      <c r="D17" s="4" t="inlineStr">
        <is>
          <t>female</t>
        </is>
      </c>
      <c r="E17" s="4" t="inlineStr">
        <is>
          <t>colorectal</t>
        </is>
      </c>
      <c r="F17" s="4" t="inlineStr">
        <is>
          <t>III</t>
        </is>
      </c>
      <c r="G17" s="4" t="n">
        <v>162.3</v>
      </c>
      <c r="H17" s="4" t="n">
        <v>2</v>
      </c>
      <c r="I17" s="4" t="inlineStr">
        <is>
          <t>yes</t>
        </is>
      </c>
      <c r="J17" s="4" t="inlineStr">
        <is>
          <t>no</t>
        </is>
      </c>
      <c r="K17" s="4" t="n">
        <v>39.03073843384283</v>
      </c>
      <c r="L17" s="4" t="n">
        <v>1.557847164373458</v>
      </c>
      <c r="M17" s="4" t="inlineStr">
        <is>
          <t>no</t>
        </is>
      </c>
      <c r="N17" s="4" t="inlineStr">
        <is>
          <t>yes</t>
        </is>
      </c>
      <c r="O17" s="4" t="inlineStr">
        <is>
          <t>no</t>
        </is>
      </c>
      <c r="P17" s="4" t="b">
        <v>0</v>
      </c>
      <c r="Q17" s="4" t="n">
        <v>90</v>
      </c>
      <c r="R17" s="4" t="inlineStr">
        <is>
          <t>no</t>
        </is>
      </c>
      <c r="S17" s="4" t="inlineStr">
        <is>
          <t>observed_synthetic_follow_up</t>
        </is>
      </c>
      <c r="T17" s="4" t="inlineStr">
        <is>
          <t>moderate</t>
        </is>
      </c>
      <c r="U17" s="4" t="inlineStr">
        <is>
          <t>baseline_predictors_only</t>
        </is>
      </c>
      <c r="V17" s="4" t="inlineStr">
        <is>
          <t>research_only_not_clinically_validated</t>
        </is>
      </c>
      <c r="W17" s="4" t="inlineStr">
        <is>
          <t>not_defined_pending_clinical_review</t>
        </is>
      </c>
      <c r="X17" s="4" t="inlineStr">
        <is>
          <t>no</t>
        </is>
      </c>
      <c r="Y17" s="4" t="b">
        <v>0</v>
      </c>
      <c r="Z17" s="4" t="n">
        <v>181</v>
      </c>
      <c r="AA17" s="4" t="inlineStr">
        <is>
          <t>no</t>
        </is>
      </c>
      <c r="AB17" s="4" t="inlineStr">
        <is>
          <t>observed_synthetic_follow_up</t>
        </is>
      </c>
      <c r="AC17" s="4" t="inlineStr">
        <is>
          <t>high</t>
        </is>
      </c>
      <c r="AD17" s="4" t="inlineStr">
        <is>
          <t>baseline_predictors_only</t>
        </is>
      </c>
      <c r="AE17" s="4" t="inlineStr">
        <is>
          <t>research_only_not_clinically_validated</t>
        </is>
      </c>
      <c r="AF17" s="4" t="inlineStr">
        <is>
          <t>not_defined_pending_clinical_review</t>
        </is>
      </c>
    </row>
    <row r="18">
      <c r="A18" s="4" t="inlineStr">
        <is>
          <t>SYN-20260820-0011</t>
        </is>
      </c>
      <c r="B18" s="4" t="inlineStr">
        <is>
          <t>2026-01-25</t>
        </is>
      </c>
      <c r="C18" s="4" t="n">
        <v>74</v>
      </c>
      <c r="D18" s="4" t="inlineStr">
        <is>
          <t>unknown</t>
        </is>
      </c>
      <c r="E18" s="4" t="inlineStr">
        <is>
          <t>gastric</t>
        </is>
      </c>
      <c r="F18" s="4" t="inlineStr">
        <is>
          <t>II</t>
        </is>
      </c>
      <c r="G18" s="4" t="n">
        <v>172.9</v>
      </c>
      <c r="H18" s="4" t="inlineStr">
        <is>
          <t>unknown</t>
        </is>
      </c>
      <c r="I18" s="4" t="inlineStr">
        <is>
          <t>yes</t>
        </is>
      </c>
      <c r="J18" s="4" t="inlineStr">
        <is>
          <t>yes</t>
        </is>
      </c>
      <c r="K18" s="4" t="n">
        <v>21.68064196617361</v>
      </c>
      <c r="L18" s="4" t="n">
        <v>2.021164021164026</v>
      </c>
      <c r="M18" s="4" t="inlineStr">
        <is>
          <t>unknown</t>
        </is>
      </c>
      <c r="N18" s="4" t="inlineStr">
        <is>
          <t>unknown</t>
        </is>
      </c>
      <c r="O18" s="4" t="inlineStr">
        <is>
          <t>no</t>
        </is>
      </c>
      <c r="P18" s="4" t="b">
        <v>0</v>
      </c>
      <c r="Q18" s="4" t="n">
        <v>90</v>
      </c>
      <c r="R18" s="4" t="inlineStr">
        <is>
          <t>unknown</t>
        </is>
      </c>
      <c r="S18" s="4" t="inlineStr">
        <is>
          <t>observed_synthetic_follow_up</t>
        </is>
      </c>
      <c r="T18" s="4" t="inlineStr">
        <is>
          <t>withheld</t>
        </is>
      </c>
      <c r="U18" s="4" t="inlineStr">
        <is>
          <t>baseline_predictors_only</t>
        </is>
      </c>
      <c r="V18" s="4" t="inlineStr">
        <is>
          <t>withheld_missing_required_baseline_predictors</t>
        </is>
      </c>
      <c r="W18" s="4" t="inlineStr">
        <is>
          <t>not_defined_pending_clinical_review</t>
        </is>
      </c>
      <c r="X18" s="4" t="inlineStr">
        <is>
          <t>unknown</t>
        </is>
      </c>
      <c r="Y18" s="4" t="b">
        <v>0</v>
      </c>
      <c r="Z18" s="4" t="n">
        <v>181</v>
      </c>
      <c r="AA18" s="4" t="inlineStr">
        <is>
          <t>unknown</t>
        </is>
      </c>
      <c r="AB18" s="4" t="inlineStr">
        <is>
          <t>observed_synthetic_follow_up</t>
        </is>
      </c>
      <c r="AC18" s="4" t="inlineStr">
        <is>
          <t>withheld</t>
        </is>
      </c>
      <c r="AD18" s="4" t="inlineStr">
        <is>
          <t>baseline_predictors_only</t>
        </is>
      </c>
      <c r="AE18" s="4" t="inlineStr">
        <is>
          <t>withheld_missing_required_baseline_predictors</t>
        </is>
      </c>
      <c r="AF18" s="4" t="inlineStr">
        <is>
          <t>not_defined_pending_clinical_review</t>
        </is>
      </c>
    </row>
    <row r="19">
      <c r="A19" s="4" t="inlineStr">
        <is>
          <t>SYN-20260820-0012</t>
        </is>
      </c>
      <c r="B19" s="4" t="inlineStr">
        <is>
          <t>2026-01-26</t>
        </is>
      </c>
      <c r="C19" s="4" t="n">
        <v>58</v>
      </c>
      <c r="D19" s="4" t="inlineStr">
        <is>
          <t>female</t>
        </is>
      </c>
      <c r="E19" s="4" t="inlineStr">
        <is>
          <t>head and neck</t>
        </is>
      </c>
      <c r="F19" s="4" t="inlineStr">
        <is>
          <t>III</t>
        </is>
      </c>
      <c r="G19" s="4" t="n">
        <v>167.2</v>
      </c>
      <c r="H19" s="4" t="n">
        <v>1</v>
      </c>
      <c r="I19" s="4" t="inlineStr">
        <is>
          <t>no</t>
        </is>
      </c>
      <c r="J19" s="4" t="inlineStr">
        <is>
          <t>unknown</t>
        </is>
      </c>
      <c r="K19" s="4" t="n">
        <v>36.68750429248415</v>
      </c>
      <c r="L19" s="4" t="n">
        <v>1.060176342343389</v>
      </c>
      <c r="M19" s="4" t="inlineStr">
        <is>
          <t>no</t>
        </is>
      </c>
      <c r="N19" s="4" t="inlineStr">
        <is>
          <t>no</t>
        </is>
      </c>
      <c r="O19" s="4" t="inlineStr">
        <is>
          <t>no</t>
        </is>
      </c>
      <c r="P19" s="4" t="b">
        <v>0</v>
      </c>
      <c r="Q19" s="4" t="n">
        <v>90</v>
      </c>
      <c r="R19" s="4" t="inlineStr">
        <is>
          <t>no</t>
        </is>
      </c>
      <c r="S19" s="4" t="inlineStr">
        <is>
          <t>observed_synthetic_follow_up</t>
        </is>
      </c>
      <c r="T19" s="4" t="inlineStr">
        <is>
          <t>moderate</t>
        </is>
      </c>
      <c r="U19" s="4" t="inlineStr">
        <is>
          <t>baseline_predictors_only</t>
        </is>
      </c>
      <c r="V19" s="4" t="inlineStr">
        <is>
          <t>research_only_not_clinically_validated</t>
        </is>
      </c>
      <c r="W19" s="4" t="inlineStr">
        <is>
          <t>not_defined_pending_clinical_review</t>
        </is>
      </c>
      <c r="X19" s="4" t="inlineStr">
        <is>
          <t>unknown</t>
        </is>
      </c>
      <c r="Y19" s="4" t="b">
        <v>0</v>
      </c>
      <c r="Z19" s="4" t="n">
        <v>181</v>
      </c>
      <c r="AA19" s="4" t="inlineStr">
        <is>
          <t>unknown</t>
        </is>
      </c>
      <c r="AB19" s="4" t="inlineStr">
        <is>
          <t>observed_synthetic_follow_up</t>
        </is>
      </c>
      <c r="AC19" s="4" t="inlineStr">
        <is>
          <t>moderate</t>
        </is>
      </c>
      <c r="AD19" s="4" t="inlineStr">
        <is>
          <t>baseline_predictors_only</t>
        </is>
      </c>
      <c r="AE19" s="4" t="inlineStr">
        <is>
          <t>research_only_not_clinically_validated</t>
        </is>
      </c>
      <c r="AF19" s="4" t="inlineStr">
        <is>
          <t>not_defined_pending_clinical_review</t>
        </is>
      </c>
    </row>
    <row r="20">
      <c r="A20" s="4" t="inlineStr">
        <is>
          <t>SYN-20260820-0013</t>
        </is>
      </c>
      <c r="B20" s="4" t="inlineStr">
        <is>
          <t>2026-01-27</t>
        </is>
      </c>
      <c r="C20" s="4" t="n">
        <v>70</v>
      </c>
      <c r="D20" s="4" t="inlineStr">
        <is>
          <t>male</t>
        </is>
      </c>
      <c r="E20" s="4" t="inlineStr">
        <is>
          <t>head and neck</t>
        </is>
      </c>
      <c r="F20" s="4" t="inlineStr">
        <is>
          <t>III</t>
        </is>
      </c>
      <c r="G20" s="4" t="n">
        <v>180.8</v>
      </c>
      <c r="H20" s="4" t="n">
        <v>2</v>
      </c>
      <c r="I20" s="4" t="inlineStr">
        <is>
          <t>yes</t>
        </is>
      </c>
      <c r="J20" s="4" t="inlineStr">
        <is>
          <t>yes</t>
        </is>
      </c>
      <c r="K20" s="4" t="n">
        <v>31.09306474665204</v>
      </c>
      <c r="L20" s="4" t="n">
        <v>3.235050506012177</v>
      </c>
      <c r="M20" s="4" t="inlineStr">
        <is>
          <t>unknown</t>
        </is>
      </c>
      <c r="N20" s="4" t="inlineStr">
        <is>
          <t>unknown</t>
        </is>
      </c>
      <c r="O20" s="4" t="inlineStr">
        <is>
          <t>unknown</t>
        </is>
      </c>
      <c r="P20" s="4" t="b">
        <v>0</v>
      </c>
      <c r="Q20" s="4" t="n">
        <v>90</v>
      </c>
      <c r="R20" s="4" t="inlineStr">
        <is>
          <t>unknown</t>
        </is>
      </c>
      <c r="S20" s="4" t="inlineStr">
        <is>
          <t>observed_synthetic_follow_up</t>
        </is>
      </c>
      <c r="T20" s="4" t="inlineStr">
        <is>
          <t>high</t>
        </is>
      </c>
      <c r="U20" s="4" t="inlineStr">
        <is>
          <t>baseline_predictors_only</t>
        </is>
      </c>
      <c r="V20" s="4" t="inlineStr">
        <is>
          <t>research_only_not_clinically_validated</t>
        </is>
      </c>
      <c r="W20" s="4" t="inlineStr">
        <is>
          <t>not_defined_pending_clinical_review</t>
        </is>
      </c>
      <c r="X20" s="4" t="inlineStr">
        <is>
          <t>yes</t>
        </is>
      </c>
      <c r="Y20" s="4" t="b">
        <v>0</v>
      </c>
      <c r="Z20" s="4" t="n">
        <v>181</v>
      </c>
      <c r="AA20" s="4" t="inlineStr">
        <is>
          <t>no</t>
        </is>
      </c>
      <c r="AB20" s="4" t="inlineStr">
        <is>
          <t>observed_synthetic_follow_up</t>
        </is>
      </c>
      <c r="AC20" s="4" t="inlineStr">
        <is>
          <t>high</t>
        </is>
      </c>
      <c r="AD20" s="4" t="inlineStr">
        <is>
          <t>baseline_predictors_only</t>
        </is>
      </c>
      <c r="AE20" s="4" t="inlineStr">
        <is>
          <t>research_only_not_clinically_validated</t>
        </is>
      </c>
      <c r="AF20" s="4" t="inlineStr">
        <is>
          <t>not_defined_pending_clinical_review</t>
        </is>
      </c>
    </row>
    <row r="21">
      <c r="A21" s="5" t="inlineStr">
        <is>
          <t>SYN-20260820-0014</t>
        </is>
      </c>
      <c r="B21" s="5" t="inlineStr">
        <is>
          <t>2026-01-28</t>
        </is>
      </c>
      <c r="C21" s="5" t="n">
        <v>45</v>
      </c>
      <c r="D21" s="5" t="inlineStr">
        <is>
          <t>male</t>
        </is>
      </c>
      <c r="E21" s="5" t="inlineStr">
        <is>
          <t>lung</t>
        </is>
      </c>
      <c r="F21" s="5" t="inlineStr">
        <is>
          <t>II</t>
        </is>
      </c>
      <c r="G21" s="5" t="n">
        <v>179.7</v>
      </c>
      <c r="H21" s="5" t="n">
        <v>3</v>
      </c>
      <c r="I21" s="5" t="inlineStr">
        <is>
          <t>unknown</t>
        </is>
      </c>
      <c r="J21" s="5" t="inlineStr">
        <is>
          <t>unknown</t>
        </is>
      </c>
      <c r="K21" s="5" t="n">
        <v>21.60033618139922</v>
      </c>
      <c r="L21" s="5" t="n">
        <v>2.317699945383507</v>
      </c>
      <c r="M21" s="5" t="inlineStr">
        <is>
          <t>unknown</t>
        </is>
      </c>
      <c r="N21" s="5" t="inlineStr">
        <is>
          <t>unknown</t>
        </is>
      </c>
      <c r="O21" s="5" t="inlineStr">
        <is>
          <t>unknown</t>
        </is>
      </c>
      <c r="P21" s="5" t="b">
        <v>0</v>
      </c>
      <c r="Q21" s="5" t="n">
        <v>90</v>
      </c>
      <c r="R21" s="5" t="inlineStr">
        <is>
          <t>unknown</t>
        </is>
      </c>
      <c r="S21" s="5" t="inlineStr">
        <is>
          <t>observed_synthetic_follow_up</t>
        </is>
      </c>
      <c r="T21" s="5" t="inlineStr">
        <is>
          <t>withheld</t>
        </is>
      </c>
      <c r="U21" s="5" t="inlineStr">
        <is>
          <t>baseline_predictors_only</t>
        </is>
      </c>
      <c r="V21" s="5" t="inlineStr">
        <is>
          <t>withheld_missing_required_baseline_predictors</t>
        </is>
      </c>
      <c r="W21" s="5" t="inlineStr">
        <is>
          <t>not_defined_pending_clinical_review</t>
        </is>
      </c>
      <c r="X21" s="5" t="inlineStr">
        <is>
          <t>yes</t>
        </is>
      </c>
      <c r="Y21" s="5" t="b">
        <v>0</v>
      </c>
      <c r="Z21" s="5" t="n">
        <v>181</v>
      </c>
      <c r="AA21" s="5" t="inlineStr">
        <is>
          <t>no</t>
        </is>
      </c>
      <c r="AB21" s="5" t="inlineStr">
        <is>
          <t>observed_synthetic_follow_up</t>
        </is>
      </c>
      <c r="AC21" s="5" t="inlineStr">
        <is>
          <t>withheld</t>
        </is>
      </c>
      <c r="AD21" s="5" t="inlineStr">
        <is>
          <t>baseline_predictors_only</t>
        </is>
      </c>
      <c r="AE21" s="5" t="inlineStr">
        <is>
          <t>withheld_missing_required_baseline_predictors</t>
        </is>
      </c>
      <c r="AF21" s="5" t="inlineStr">
        <is>
          <t>not_defined_pending_clinical_review</t>
        </is>
      </c>
    </row>
    <row r="22">
      <c r="A22" s="4" t="inlineStr">
        <is>
          <t>SYN-20260820-0015</t>
        </is>
      </c>
      <c r="B22" s="4" t="inlineStr">
        <is>
          <t>2026-01-29</t>
        </is>
      </c>
      <c r="C22" s="4" t="n">
        <v>65</v>
      </c>
      <c r="D22" s="4" t="inlineStr">
        <is>
          <t>female</t>
        </is>
      </c>
      <c r="E22" s="4" t="inlineStr">
        <is>
          <t>prostate</t>
        </is>
      </c>
      <c r="F22" s="4" t="inlineStr">
        <is>
          <t>II</t>
        </is>
      </c>
      <c r="G22" s="4" t="n">
        <v>151.9</v>
      </c>
      <c r="H22" s="4" t="n">
        <v>4</v>
      </c>
      <c r="I22" s="4" t="inlineStr">
        <is>
          <t>no</t>
        </is>
      </c>
      <c r="J22" s="4" t="inlineStr">
        <is>
          <t>no</t>
        </is>
      </c>
      <c r="K22" s="4" t="n">
        <v>26.74874022747199</v>
      </c>
      <c r="L22" s="4" t="n">
        <v>1.617942423566169</v>
      </c>
      <c r="M22" s="4" t="inlineStr">
        <is>
          <t>no</t>
        </is>
      </c>
      <c r="N22" s="4" t="inlineStr">
        <is>
          <t>no</t>
        </is>
      </c>
      <c r="O22" s="4" t="inlineStr">
        <is>
          <t>no</t>
        </is>
      </c>
      <c r="P22" s="4" t="b">
        <v>0</v>
      </c>
      <c r="Q22" s="4" t="n">
        <v>90</v>
      </c>
      <c r="R22" s="4" t="inlineStr">
        <is>
          <t>no</t>
        </is>
      </c>
      <c r="S22" s="4" t="inlineStr">
        <is>
          <t>observed_synthetic_follow_up</t>
        </is>
      </c>
      <c r="T22" s="4" t="inlineStr">
        <is>
          <t>moderate</t>
        </is>
      </c>
      <c r="U22" s="4" t="inlineStr">
        <is>
          <t>baseline_predictors_only</t>
        </is>
      </c>
      <c r="V22" s="4" t="inlineStr">
        <is>
          <t>research_only_not_clinically_validated</t>
        </is>
      </c>
      <c r="W22" s="4" t="inlineStr">
        <is>
          <t>not_defined_pending_clinical_review</t>
        </is>
      </c>
      <c r="X22" s="4" t="inlineStr">
        <is>
          <t>no</t>
        </is>
      </c>
      <c r="Y22" s="4" t="b">
        <v>0</v>
      </c>
      <c r="Z22" s="4" t="n">
        <v>181</v>
      </c>
      <c r="AA22" s="4" t="inlineStr">
        <is>
          <t>unknown</t>
        </is>
      </c>
      <c r="AB22" s="4" t="inlineStr">
        <is>
          <t>observed_synthetic_follow_up</t>
        </is>
      </c>
      <c r="AC22" s="4" t="inlineStr">
        <is>
          <t>moderate</t>
        </is>
      </c>
      <c r="AD22" s="4" t="inlineStr">
        <is>
          <t>baseline_predictors_only</t>
        </is>
      </c>
      <c r="AE22" s="4" t="inlineStr">
        <is>
          <t>research_only_not_clinically_validated</t>
        </is>
      </c>
      <c r="AF22" s="4" t="inlineStr">
        <is>
          <t>not_defined_pending_clinical_review</t>
        </is>
      </c>
    </row>
    <row r="23">
      <c r="A23" s="5" t="inlineStr">
        <is>
          <t>SYN-20260820-0016</t>
        </is>
      </c>
      <c r="B23" s="5" t="inlineStr">
        <is>
          <t>2026-01-30</t>
        </is>
      </c>
      <c r="C23" s="5" t="n">
        <v>76</v>
      </c>
      <c r="D23" s="5" t="inlineStr">
        <is>
          <t>male</t>
        </is>
      </c>
      <c r="E23" s="5" t="inlineStr">
        <is>
          <t>breast</t>
        </is>
      </c>
      <c r="F23" s="5" t="inlineStr">
        <is>
          <t>III</t>
        </is>
      </c>
      <c r="G23" s="5" t="n">
        <v>168.8</v>
      </c>
      <c r="H23" s="5" t="n">
        <v>1</v>
      </c>
      <c r="I23" s="5" t="inlineStr">
        <is>
          <t>no</t>
        </is>
      </c>
      <c r="J23" s="5" t="inlineStr">
        <is>
          <t>no</t>
        </is>
      </c>
      <c r="K23" s="5" t="n">
        <v>29.41764841310841</v>
      </c>
      <c r="L23" s="5" t="n">
        <v>0.3743938385471115</v>
      </c>
      <c r="M23" s="5" t="inlineStr">
        <is>
          <t>no</t>
        </is>
      </c>
      <c r="N23" s="5" t="inlineStr">
        <is>
          <t>no</t>
        </is>
      </c>
      <c r="O23" s="5" t="inlineStr">
        <is>
          <t>no</t>
        </is>
      </c>
      <c r="P23" s="5" t="b">
        <v>0</v>
      </c>
      <c r="Q23" s="5" t="n">
        <v>90</v>
      </c>
      <c r="R23" s="5" t="inlineStr">
        <is>
          <t>no</t>
        </is>
      </c>
      <c r="S23" s="5" t="inlineStr">
        <is>
          <t>observed_synthetic_follow_up</t>
        </is>
      </c>
      <c r="T23" s="5" t="inlineStr">
        <is>
          <t>low</t>
        </is>
      </c>
      <c r="U23" s="5" t="inlineStr">
        <is>
          <t>baseline_predictors_only</t>
        </is>
      </c>
      <c r="V23" s="5" t="inlineStr">
        <is>
          <t>research_only_not_clinically_validated</t>
        </is>
      </c>
      <c r="W23" s="5" t="inlineStr">
        <is>
          <t>not_defined_pending_clinical_review</t>
        </is>
      </c>
      <c r="X23" s="5" t="inlineStr">
        <is>
          <t>no</t>
        </is>
      </c>
      <c r="Y23" s="5" t="b">
        <v>0</v>
      </c>
      <c r="Z23" s="5" t="n">
        <v>181</v>
      </c>
      <c r="AA23" s="5" t="inlineStr">
        <is>
          <t>no</t>
        </is>
      </c>
      <c r="AB23" s="5" t="inlineStr">
        <is>
          <t>observed_synthetic_follow_up</t>
        </is>
      </c>
      <c r="AC23" s="5" t="inlineStr">
        <is>
          <t>moderate</t>
        </is>
      </c>
      <c r="AD23" s="5" t="inlineStr">
        <is>
          <t>baseline_predictors_only</t>
        </is>
      </c>
      <c r="AE23" s="5" t="inlineStr">
        <is>
          <t>research_only_not_clinically_validated</t>
        </is>
      </c>
      <c r="AF23" s="5" t="inlineStr">
        <is>
          <t>not_defined_pending_clinical_review</t>
        </is>
      </c>
    </row>
    <row r="24">
      <c r="A24" s="4" t="inlineStr">
        <is>
          <t>SYN-20260820-0017</t>
        </is>
      </c>
      <c r="B24" s="4" t="inlineStr">
        <is>
          <t>2026-01-31</t>
        </is>
      </c>
      <c r="C24" s="4" t="n">
        <v>66</v>
      </c>
      <c r="D24" s="4" t="inlineStr">
        <is>
          <t>male</t>
        </is>
      </c>
      <c r="E24" s="4" t="inlineStr">
        <is>
          <t>pancreatic</t>
        </is>
      </c>
      <c r="F24" s="4" t="inlineStr">
        <is>
          <t>IV</t>
        </is>
      </c>
      <c r="G24" s="4" t="n">
        <v>176.8</v>
      </c>
      <c r="H24" s="4" t="n">
        <v>1</v>
      </c>
      <c r="I24" s="4" t="inlineStr">
        <is>
          <t>no</t>
        </is>
      </c>
      <c r="J24" s="4" t="inlineStr">
        <is>
          <t>no</t>
        </is>
      </c>
      <c r="K24" s="4" t="n">
        <v>28.02876937409144</v>
      </c>
      <c r="L24" s="4" t="n">
        <v>3.294774719088721</v>
      </c>
      <c r="M24" s="4" t="inlineStr">
        <is>
          <t>unknown</t>
        </is>
      </c>
      <c r="N24" s="4" t="inlineStr">
        <is>
          <t>unknown</t>
        </is>
      </c>
      <c r="O24" s="4" t="inlineStr">
        <is>
          <t>unknown</t>
        </is>
      </c>
      <c r="P24" s="4" t="b">
        <v>0</v>
      </c>
      <c r="Q24" s="4" t="n">
        <v>89</v>
      </c>
      <c r="R24" s="4" t="inlineStr">
        <is>
          <t>unknown</t>
        </is>
      </c>
      <c r="S24" s="4" t="inlineStr">
        <is>
          <t>observed_synthetic_follow_up</t>
        </is>
      </c>
      <c r="T24" s="4" t="inlineStr">
        <is>
          <t>high</t>
        </is>
      </c>
      <c r="U24" s="4" t="inlineStr">
        <is>
          <t>baseline_predictors_only</t>
        </is>
      </c>
      <c r="V24" s="4" t="inlineStr">
        <is>
          <t>research_only_not_clinically_validated</t>
        </is>
      </c>
      <c r="W24" s="4" t="inlineStr">
        <is>
          <t>not_defined_pending_clinical_review</t>
        </is>
      </c>
      <c r="X24" s="4" t="inlineStr">
        <is>
          <t>yes</t>
        </is>
      </c>
      <c r="Y24" s="4" t="b">
        <v>0</v>
      </c>
      <c r="Z24" s="4" t="n">
        <v>181</v>
      </c>
      <c r="AA24" s="4" t="inlineStr">
        <is>
          <t>no</t>
        </is>
      </c>
      <c r="AB24" s="4" t="inlineStr">
        <is>
          <t>observed_synthetic_follow_up</t>
        </is>
      </c>
      <c r="AC24" s="4" t="inlineStr">
        <is>
          <t>high</t>
        </is>
      </c>
      <c r="AD24" s="4" t="inlineStr">
        <is>
          <t>baseline_predictors_only</t>
        </is>
      </c>
      <c r="AE24" s="4" t="inlineStr">
        <is>
          <t>research_only_not_clinically_validated</t>
        </is>
      </c>
      <c r="AF24" s="4" t="inlineStr">
        <is>
          <t>not_defined_pending_clinical_review</t>
        </is>
      </c>
    </row>
    <row r="25">
      <c r="A25" s="4" t="inlineStr">
        <is>
          <t>SYN-20260820-0018</t>
        </is>
      </c>
      <c r="B25" s="4" t="inlineStr">
        <is>
          <t>2026-02-01</t>
        </is>
      </c>
      <c r="C25" s="4" t="n">
        <v>48</v>
      </c>
      <c r="D25" s="4" t="inlineStr">
        <is>
          <t>female</t>
        </is>
      </c>
      <c r="E25" s="4" t="inlineStr">
        <is>
          <t>pancreatic</t>
        </is>
      </c>
      <c r="F25" s="4" t="inlineStr">
        <is>
          <t>II</t>
        </is>
      </c>
      <c r="G25" s="4" t="n">
        <v>163</v>
      </c>
      <c r="H25" s="4" t="n">
        <v>1</v>
      </c>
      <c r="I25" s="4" t="inlineStr">
        <is>
          <t>unknown</t>
        </is>
      </c>
      <c r="J25" s="4" t="inlineStr">
        <is>
          <t>no</t>
        </is>
      </c>
      <c r="K25" s="4" t="n">
        <v>25.5911024125861</v>
      </c>
      <c r="L25" s="4" t="n">
        <v>2.63067449520264</v>
      </c>
      <c r="M25" s="4" t="inlineStr">
        <is>
          <t>unknown</t>
        </is>
      </c>
      <c r="N25" s="4" t="inlineStr">
        <is>
          <t>unknown</t>
        </is>
      </c>
      <c r="O25" s="4" t="inlineStr">
        <is>
          <t>unknown</t>
        </is>
      </c>
      <c r="P25" s="4" t="b">
        <v>0</v>
      </c>
      <c r="Q25" s="4" t="n">
        <v>89</v>
      </c>
      <c r="R25" s="4" t="inlineStr">
        <is>
          <t>unknown</t>
        </is>
      </c>
      <c r="S25" s="4" t="inlineStr">
        <is>
          <t>observed_synthetic_follow_up</t>
        </is>
      </c>
      <c r="T25" s="4" t="inlineStr">
        <is>
          <t>withheld</t>
        </is>
      </c>
      <c r="U25" s="4" t="inlineStr">
        <is>
          <t>baseline_predictors_only</t>
        </is>
      </c>
      <c r="V25" s="4" t="inlineStr">
        <is>
          <t>withheld_missing_required_baseline_predictors</t>
        </is>
      </c>
      <c r="W25" s="4" t="inlineStr">
        <is>
          <t>not_defined_pending_clinical_review</t>
        </is>
      </c>
      <c r="X25" s="4" t="inlineStr">
        <is>
          <t>yes</t>
        </is>
      </c>
      <c r="Y25" s="4" t="b">
        <v>0</v>
      </c>
      <c r="Z25" s="4" t="n">
        <v>181</v>
      </c>
      <c r="AA25" s="4" t="inlineStr">
        <is>
          <t>no</t>
        </is>
      </c>
      <c r="AB25" s="4" t="inlineStr">
        <is>
          <t>observed_synthetic_follow_up</t>
        </is>
      </c>
      <c r="AC25" s="4" t="inlineStr">
        <is>
          <t>withheld</t>
        </is>
      </c>
      <c r="AD25" s="4" t="inlineStr">
        <is>
          <t>baseline_predictors_only</t>
        </is>
      </c>
      <c r="AE25" s="4" t="inlineStr">
        <is>
          <t>withheld_missing_required_baseline_predictors</t>
        </is>
      </c>
      <c r="AF25" s="4" t="inlineStr">
        <is>
          <t>not_defined_pending_clinical_review</t>
        </is>
      </c>
    </row>
    <row r="26">
      <c r="A26" s="4" t="inlineStr">
        <is>
          <t>SYN-20260820-0019</t>
        </is>
      </c>
      <c r="B26" s="4" t="inlineStr">
        <is>
          <t>2026-02-02</t>
        </is>
      </c>
      <c r="C26" s="4" t="n">
        <v>62</v>
      </c>
      <c r="D26" s="4" t="inlineStr">
        <is>
          <t>male</t>
        </is>
      </c>
      <c r="E26" s="4" t="inlineStr">
        <is>
          <t>colorectal</t>
        </is>
      </c>
      <c r="F26" s="4" t="inlineStr">
        <is>
          <t>III</t>
        </is>
      </c>
      <c r="G26" s="4" t="n">
        <v>176.7</v>
      </c>
      <c r="H26" s="4" t="n">
        <v>1</v>
      </c>
      <c r="I26" s="4" t="inlineStr">
        <is>
          <t>no</t>
        </is>
      </c>
      <c r="J26" s="4" t="inlineStr">
        <is>
          <t>no</t>
        </is>
      </c>
      <c r="K26" s="4" t="n">
        <v>32.11073670630746</v>
      </c>
      <c r="L26" s="4" t="n">
        <v>1.03643309084089</v>
      </c>
      <c r="M26" s="4" t="inlineStr">
        <is>
          <t>no</t>
        </is>
      </c>
      <c r="N26" s="4" t="inlineStr">
        <is>
          <t>no</t>
        </is>
      </c>
      <c r="O26" s="4" t="inlineStr">
        <is>
          <t>unknown</t>
        </is>
      </c>
      <c r="P26" s="4" t="b">
        <v>0</v>
      </c>
      <c r="Q26" s="4" t="n">
        <v>89</v>
      </c>
      <c r="R26" s="4" t="inlineStr">
        <is>
          <t>unknown</t>
        </is>
      </c>
      <c r="S26" s="4" t="inlineStr">
        <is>
          <t>observed_synthetic_follow_up</t>
        </is>
      </c>
      <c r="T26" s="4" t="inlineStr">
        <is>
          <t>moderate</t>
        </is>
      </c>
      <c r="U26" s="4" t="inlineStr">
        <is>
          <t>baseline_predictors_only</t>
        </is>
      </c>
      <c r="V26" s="4" t="inlineStr">
        <is>
          <t>research_only_not_clinically_validated</t>
        </is>
      </c>
      <c r="W26" s="4" t="inlineStr">
        <is>
          <t>not_defined_pending_clinical_review</t>
        </is>
      </c>
      <c r="X26" s="4" t="inlineStr">
        <is>
          <t>yes</t>
        </is>
      </c>
      <c r="Y26" s="4" t="b">
        <v>0</v>
      </c>
      <c r="Z26" s="4" t="n">
        <v>181</v>
      </c>
      <c r="AA26" s="4" t="inlineStr">
        <is>
          <t>no</t>
        </is>
      </c>
      <c r="AB26" s="4" t="inlineStr">
        <is>
          <t>observed_synthetic_follow_up</t>
        </is>
      </c>
      <c r="AC26" s="4" t="inlineStr">
        <is>
          <t>moderate</t>
        </is>
      </c>
      <c r="AD26" s="4" t="inlineStr">
        <is>
          <t>baseline_predictors_only</t>
        </is>
      </c>
      <c r="AE26" s="4" t="inlineStr">
        <is>
          <t>research_only_not_clinically_validated</t>
        </is>
      </c>
      <c r="AF26" s="4" t="inlineStr">
        <is>
          <t>not_defined_pending_clinical_review</t>
        </is>
      </c>
    </row>
    <row r="27">
      <c r="A27" s="4" t="inlineStr">
        <is>
          <t>SYN-20260820-0020</t>
        </is>
      </c>
      <c r="B27" s="4" t="inlineStr">
        <is>
          <t>2026-02-03</t>
        </is>
      </c>
      <c r="C27" s="4" t="n">
        <v>27</v>
      </c>
      <c r="D27" s="4" t="inlineStr">
        <is>
          <t>male</t>
        </is>
      </c>
      <c r="E27" s="4" t="inlineStr">
        <is>
          <t>lung</t>
        </is>
      </c>
      <c r="F27" s="4" t="inlineStr">
        <is>
          <t>III</t>
        </is>
      </c>
      <c r="G27" s="4" t="n">
        <v>179.6</v>
      </c>
      <c r="H27" s="4" t="n">
        <v>1</v>
      </c>
      <c r="I27" s="4" t="inlineStr">
        <is>
          <t>yes</t>
        </is>
      </c>
      <c r="J27" s="4" t="inlineStr">
        <is>
          <t>no</t>
        </is>
      </c>
      <c r="K27" s="4" t="n">
        <v>21.79862699093754</v>
      </c>
      <c r="L27" s="4" t="n">
        <v>2.394536292841389</v>
      </c>
      <c r="M27" s="4" t="inlineStr">
        <is>
          <t>unknown</t>
        </is>
      </c>
      <c r="N27" s="4" t="inlineStr">
        <is>
          <t>unknown</t>
        </is>
      </c>
      <c r="O27" s="4" t="inlineStr">
        <is>
          <t>no</t>
        </is>
      </c>
      <c r="P27" s="4" t="b">
        <v>0</v>
      </c>
      <c r="Q27" s="4" t="n">
        <v>89</v>
      </c>
      <c r="R27" s="4" t="inlineStr">
        <is>
          <t>yes</t>
        </is>
      </c>
      <c r="S27" s="4" t="inlineStr">
        <is>
          <t>observed_synthetic_follow_up</t>
        </is>
      </c>
      <c r="T27" s="4" t="inlineStr">
        <is>
          <t>moderate</t>
        </is>
      </c>
      <c r="U27" s="4" t="inlineStr">
        <is>
          <t>baseline_predictors_only</t>
        </is>
      </c>
      <c r="V27" s="4" t="inlineStr">
        <is>
          <t>research_only_not_clinically_validated</t>
        </is>
      </c>
      <c r="W27" s="4" t="inlineStr">
        <is>
          <t>not_defined_pending_clinical_review</t>
        </is>
      </c>
      <c r="X27" s="4" t="inlineStr">
        <is>
          <t>unknown</t>
        </is>
      </c>
      <c r="Y27" s="4" t="b">
        <v>0</v>
      </c>
      <c r="Z27" s="4" t="n">
        <v>181</v>
      </c>
      <c r="AA27" s="4" t="inlineStr">
        <is>
          <t>unknown</t>
        </is>
      </c>
      <c r="AB27" s="4" t="inlineStr">
        <is>
          <t>observed_synthetic_follow_up</t>
        </is>
      </c>
      <c r="AC27" s="4" t="inlineStr">
        <is>
          <t>high</t>
        </is>
      </c>
      <c r="AD27" s="4" t="inlineStr">
        <is>
          <t>baseline_predictors_only</t>
        </is>
      </c>
      <c r="AE27" s="4" t="inlineStr">
        <is>
          <t>research_only_not_clinically_validated</t>
        </is>
      </c>
      <c r="AF27" s="4" t="inlineStr">
        <is>
          <t>not_defined_pending_clinical_review</t>
        </is>
      </c>
    </row>
    <row r="28">
      <c r="A28" s="4" t="inlineStr">
        <is>
          <t>SYN-20260820-0021</t>
        </is>
      </c>
      <c r="B28" s="4" t="inlineStr">
        <is>
          <t>2026-02-04</t>
        </is>
      </c>
      <c r="C28" s="4" t="n">
        <v>57</v>
      </c>
      <c r="D28" s="4" t="inlineStr">
        <is>
          <t>male</t>
        </is>
      </c>
      <c r="E28" s="4" t="inlineStr">
        <is>
          <t>gastric</t>
        </is>
      </c>
      <c r="F28" s="4" t="inlineStr">
        <is>
          <t>IV</t>
        </is>
      </c>
      <c r="G28" s="4" t="n">
        <v>167.8</v>
      </c>
      <c r="H28" s="4" t="n">
        <v>1</v>
      </c>
      <c r="I28" s="4" t="inlineStr">
        <is>
          <t>no</t>
        </is>
      </c>
      <c r="J28" s="4" t="inlineStr">
        <is>
          <t>yes</t>
        </is>
      </c>
      <c r="K28" s="4" t="n">
        <v>17.45295281714851</v>
      </c>
      <c r="L28" s="4" t="n">
        <v>3.002190948029122</v>
      </c>
      <c r="M28" s="4" t="inlineStr">
        <is>
          <t>yes</t>
        </is>
      </c>
      <c r="N28" s="4" t="inlineStr">
        <is>
          <t>no</t>
        </is>
      </c>
      <c r="O28" s="4" t="inlineStr">
        <is>
          <t>no</t>
        </is>
      </c>
      <c r="P28" s="4" t="b">
        <v>0</v>
      </c>
      <c r="Q28" s="4" t="n">
        <v>89</v>
      </c>
      <c r="R28" s="4" t="inlineStr">
        <is>
          <t>no</t>
        </is>
      </c>
      <c r="S28" s="4" t="inlineStr">
        <is>
          <t>observed_synthetic_follow_up</t>
        </is>
      </c>
      <c r="T28" s="4" t="inlineStr">
        <is>
          <t>high</t>
        </is>
      </c>
      <c r="U28" s="4" t="inlineStr">
        <is>
          <t>baseline_predictors_only</t>
        </is>
      </c>
      <c r="V28" s="4" t="inlineStr">
        <is>
          <t>research_only_not_clinically_validated</t>
        </is>
      </c>
      <c r="W28" s="4" t="inlineStr">
        <is>
          <t>not_defined_pending_clinical_review</t>
        </is>
      </c>
      <c r="X28" s="4" t="inlineStr">
        <is>
          <t>yes</t>
        </is>
      </c>
      <c r="Y28" s="4" t="b">
        <v>0</v>
      </c>
      <c r="Z28" s="4" t="n">
        <v>181</v>
      </c>
      <c r="AA28" s="4" t="inlineStr">
        <is>
          <t>no</t>
        </is>
      </c>
      <c r="AB28" s="4" t="inlineStr">
        <is>
          <t>observed_synthetic_follow_up</t>
        </is>
      </c>
      <c r="AC28" s="4" t="inlineStr">
        <is>
          <t>high</t>
        </is>
      </c>
      <c r="AD28" s="4" t="inlineStr">
        <is>
          <t>baseline_predictors_only</t>
        </is>
      </c>
      <c r="AE28" s="4" t="inlineStr">
        <is>
          <t>research_only_not_clinically_validated</t>
        </is>
      </c>
      <c r="AF28" s="4" t="inlineStr">
        <is>
          <t>not_defined_pending_clinical_review</t>
        </is>
      </c>
    </row>
    <row r="29">
      <c r="A29" s="4" t="inlineStr">
        <is>
          <t>SYN-20260820-0022</t>
        </is>
      </c>
      <c r="B29" s="4" t="inlineStr">
        <is>
          <t>2026-02-05</t>
        </is>
      </c>
      <c r="C29" s="4" t="n">
        <v>44</v>
      </c>
      <c r="D29" s="4" t="inlineStr">
        <is>
          <t>male</t>
        </is>
      </c>
      <c r="E29" s="4" t="inlineStr">
        <is>
          <t>prostate</t>
        </is>
      </c>
      <c r="F29" s="4" t="inlineStr">
        <is>
          <t>II</t>
        </is>
      </c>
      <c r="G29" s="4" t="n">
        <v>171.8</v>
      </c>
      <c r="H29" s="4" t="n">
        <v>1</v>
      </c>
      <c r="I29" s="4" t="inlineStr">
        <is>
          <t>yes</t>
        </is>
      </c>
      <c r="J29" s="4" t="inlineStr">
        <is>
          <t>unknown</t>
        </is>
      </c>
      <c r="K29" s="4" t="n">
        <v>33.41324685145707</v>
      </c>
      <c r="L29" s="4" t="n">
        <v>0.7677369369006681</v>
      </c>
      <c r="M29" s="4" t="inlineStr">
        <is>
          <t>no</t>
        </is>
      </c>
      <c r="N29" s="4" t="inlineStr">
        <is>
          <t>no</t>
        </is>
      </c>
      <c r="O29" s="4" t="inlineStr">
        <is>
          <t>no</t>
        </is>
      </c>
      <c r="P29" s="4" t="b">
        <v>0</v>
      </c>
      <c r="Q29" s="4" t="n">
        <v>89</v>
      </c>
      <c r="R29" s="4" t="inlineStr">
        <is>
          <t>no</t>
        </is>
      </c>
      <c r="S29" s="4" t="inlineStr">
        <is>
          <t>observed_synthetic_follow_up</t>
        </is>
      </c>
      <c r="T29" s="4" t="inlineStr">
        <is>
          <t>low</t>
        </is>
      </c>
      <c r="U29" s="4" t="inlineStr">
        <is>
          <t>baseline_predictors_only</t>
        </is>
      </c>
      <c r="V29" s="4" t="inlineStr">
        <is>
          <t>research_only_not_clinically_validated</t>
        </is>
      </c>
      <c r="W29" s="4" t="inlineStr">
        <is>
          <t>not_defined_pending_clinical_review</t>
        </is>
      </c>
      <c r="X29" s="4" t="inlineStr">
        <is>
          <t>no</t>
        </is>
      </c>
      <c r="Y29" s="4" t="b">
        <v>0</v>
      </c>
      <c r="Z29" s="4" t="n">
        <v>181</v>
      </c>
      <c r="AA29" s="4" t="inlineStr">
        <is>
          <t>no</t>
        </is>
      </c>
      <c r="AB29" s="4" t="inlineStr">
        <is>
          <t>observed_synthetic_follow_up</t>
        </is>
      </c>
      <c r="AC29" s="4" t="inlineStr">
        <is>
          <t>moderate</t>
        </is>
      </c>
      <c r="AD29" s="4" t="inlineStr">
        <is>
          <t>baseline_predictors_only</t>
        </is>
      </c>
      <c r="AE29" s="4" t="inlineStr">
        <is>
          <t>research_only_not_clinically_validated</t>
        </is>
      </c>
      <c r="AF29" s="4" t="inlineStr">
        <is>
          <t>not_defined_pending_clinical_review</t>
        </is>
      </c>
    </row>
    <row r="30">
      <c r="A30" s="4" t="inlineStr">
        <is>
          <t>SYN-20260820-0023</t>
        </is>
      </c>
      <c r="B30" s="4" t="inlineStr">
        <is>
          <t>2026-02-06</t>
        </is>
      </c>
      <c r="C30" s="4" t="n">
        <v>84</v>
      </c>
      <c r="D30" s="4" t="inlineStr">
        <is>
          <t>male</t>
        </is>
      </c>
      <c r="E30" s="4" t="inlineStr">
        <is>
          <t>lung</t>
        </is>
      </c>
      <c r="F30" s="4" t="inlineStr">
        <is>
          <t>III</t>
        </is>
      </c>
      <c r="G30" s="4" t="n">
        <v>175.5</v>
      </c>
      <c r="H30" s="4" t="n">
        <v>2</v>
      </c>
      <c r="I30" s="4" t="inlineStr">
        <is>
          <t>yes</t>
        </is>
      </c>
      <c r="J30" s="4" t="inlineStr">
        <is>
          <t>no</t>
        </is>
      </c>
      <c r="K30" s="4" t="n">
        <v>15.49597811706074</v>
      </c>
      <c r="L30" s="4" t="n">
        <v>2.711076684740508</v>
      </c>
      <c r="M30" s="4" t="inlineStr">
        <is>
          <t>yes</t>
        </is>
      </c>
      <c r="N30" s="4" t="inlineStr">
        <is>
          <t>no</t>
        </is>
      </c>
      <c r="O30" s="4" t="inlineStr">
        <is>
          <t>yes</t>
        </is>
      </c>
      <c r="P30" s="4" t="b">
        <v>0</v>
      </c>
      <c r="Q30" s="4" t="n">
        <v>89</v>
      </c>
      <c r="R30" s="4" t="inlineStr">
        <is>
          <t>no</t>
        </is>
      </c>
      <c r="S30" s="4" t="inlineStr">
        <is>
          <t>observed_synthetic_follow_up</t>
        </is>
      </c>
      <c r="T30" s="4" t="inlineStr">
        <is>
          <t>high</t>
        </is>
      </c>
      <c r="U30" s="4" t="inlineStr">
        <is>
          <t>baseline_predictors_only</t>
        </is>
      </c>
      <c r="V30" s="4" t="inlineStr">
        <is>
          <t>research_only_not_clinically_validated</t>
        </is>
      </c>
      <c r="W30" s="4" t="inlineStr">
        <is>
          <t>not_defined_pending_clinical_review</t>
        </is>
      </c>
      <c r="X30" s="4" t="inlineStr">
        <is>
          <t>yes</t>
        </is>
      </c>
      <c r="Y30" s="4" t="b">
        <v>0</v>
      </c>
      <c r="Z30" s="4" t="n">
        <v>181</v>
      </c>
      <c r="AA30" s="4" t="inlineStr">
        <is>
          <t>no</t>
        </is>
      </c>
      <c r="AB30" s="4" t="inlineStr">
        <is>
          <t>observed_synthetic_follow_up</t>
        </is>
      </c>
      <c r="AC30" s="4" t="inlineStr">
        <is>
          <t>high</t>
        </is>
      </c>
      <c r="AD30" s="4" t="inlineStr">
        <is>
          <t>baseline_predictors_only</t>
        </is>
      </c>
      <c r="AE30" s="4" t="inlineStr">
        <is>
          <t>research_only_not_clinically_validated</t>
        </is>
      </c>
      <c r="AF30" s="4" t="inlineStr">
        <is>
          <t>not_defined_pending_clinical_review</t>
        </is>
      </c>
    </row>
    <row r="31">
      <c r="A31" s="4" t="inlineStr">
        <is>
          <t>SYN-20260820-0024</t>
        </is>
      </c>
      <c r="B31" s="4" t="inlineStr">
        <is>
          <t>2026-02-07</t>
        </is>
      </c>
      <c r="C31" s="4" t="n">
        <v>31</v>
      </c>
      <c r="D31" s="4" t="inlineStr">
        <is>
          <t>male</t>
        </is>
      </c>
      <c r="E31" s="4" t="inlineStr">
        <is>
          <t>gastric</t>
        </is>
      </c>
      <c r="F31" s="4" t="inlineStr">
        <is>
          <t>III</t>
        </is>
      </c>
      <c r="G31" s="4" t="n">
        <v>178.8</v>
      </c>
      <c r="H31" s="4" t="n">
        <v>4</v>
      </c>
      <c r="I31" s="4" t="inlineStr">
        <is>
          <t>yes</t>
        </is>
      </c>
      <c r="J31" s="4" t="inlineStr">
        <is>
          <t>unknown</t>
        </is>
      </c>
      <c r="K31" s="4" t="n">
        <v>33.68685844981957</v>
      </c>
      <c r="L31" s="4" t="n">
        <v>3.960369551259188</v>
      </c>
      <c r="M31" s="4" t="inlineStr">
        <is>
          <t>unknown</t>
        </is>
      </c>
      <c r="N31" s="4" t="inlineStr">
        <is>
          <t>unknown</t>
        </is>
      </c>
      <c r="O31" s="4" t="inlineStr">
        <is>
          <t>unknown</t>
        </is>
      </c>
      <c r="P31" s="4" t="b">
        <v>0</v>
      </c>
      <c r="Q31" s="4" t="n">
        <v>89</v>
      </c>
      <c r="R31" s="4" t="inlineStr">
        <is>
          <t>unknown</t>
        </is>
      </c>
      <c r="S31" s="4" t="inlineStr">
        <is>
          <t>observed_synthetic_follow_up</t>
        </is>
      </c>
      <c r="T31" s="4" t="inlineStr">
        <is>
          <t>high</t>
        </is>
      </c>
      <c r="U31" s="4" t="inlineStr">
        <is>
          <t>baseline_predictors_only</t>
        </is>
      </c>
      <c r="V31" s="4" t="inlineStr">
        <is>
          <t>research_only_not_clinically_validated</t>
        </is>
      </c>
      <c r="W31" s="4" t="inlineStr">
        <is>
          <t>not_defined_pending_clinical_review</t>
        </is>
      </c>
      <c r="X31" s="4" t="inlineStr">
        <is>
          <t>yes</t>
        </is>
      </c>
      <c r="Y31" s="4" t="b">
        <v>0</v>
      </c>
      <c r="Z31" s="4" t="n">
        <v>181</v>
      </c>
      <c r="AA31" s="4" t="inlineStr">
        <is>
          <t>no</t>
        </is>
      </c>
      <c r="AB31" s="4" t="inlineStr">
        <is>
          <t>observed_synthetic_follow_up</t>
        </is>
      </c>
      <c r="AC31" s="4" t="inlineStr">
        <is>
          <t>high</t>
        </is>
      </c>
      <c r="AD31" s="4" t="inlineStr">
        <is>
          <t>baseline_predictors_only</t>
        </is>
      </c>
      <c r="AE31" s="4" t="inlineStr">
        <is>
          <t>research_only_not_clinically_validated</t>
        </is>
      </c>
      <c r="AF31" s="4" t="inlineStr">
        <is>
          <t>not_defined_pending_clinical_review</t>
        </is>
      </c>
    </row>
    <row r="32">
      <c r="A32" s="4" t="inlineStr">
        <is>
          <t>SYN-20260820-0025</t>
        </is>
      </c>
      <c r="B32" s="4" t="inlineStr">
        <is>
          <t>2026-02-08</t>
        </is>
      </c>
      <c r="C32" s="4" t="n">
        <v>76</v>
      </c>
      <c r="D32" s="4" t="inlineStr">
        <is>
          <t>male</t>
        </is>
      </c>
      <c r="E32" s="4" t="inlineStr">
        <is>
          <t>pancreatic</t>
        </is>
      </c>
      <c r="F32" s="4" t="inlineStr">
        <is>
          <t>IV</t>
        </is>
      </c>
      <c r="G32" s="4" t="n">
        <v>166</v>
      </c>
      <c r="H32" s="4" t="n">
        <v>2</v>
      </c>
      <c r="I32" s="4" t="inlineStr">
        <is>
          <t>no</t>
        </is>
      </c>
      <c r="J32" s="4" t="inlineStr">
        <is>
          <t>unknown</t>
        </is>
      </c>
      <c r="K32" s="4" t="n">
        <v>21.62904630570475</v>
      </c>
      <c r="L32" s="4" t="n">
        <v>3.960747031051094</v>
      </c>
      <c r="M32" s="4" t="inlineStr">
        <is>
          <t>unknown</t>
        </is>
      </c>
      <c r="N32" s="4" t="inlineStr">
        <is>
          <t>unknown</t>
        </is>
      </c>
      <c r="O32" s="4" t="inlineStr">
        <is>
          <t>yes</t>
        </is>
      </c>
      <c r="P32" s="4" t="b">
        <v>0</v>
      </c>
      <c r="Q32" s="4" t="n">
        <v>89</v>
      </c>
      <c r="R32" s="4" t="inlineStr">
        <is>
          <t>no</t>
        </is>
      </c>
      <c r="S32" s="4" t="inlineStr">
        <is>
          <t>observed_synthetic_follow_up</t>
        </is>
      </c>
      <c r="T32" s="4" t="inlineStr">
        <is>
          <t>high</t>
        </is>
      </c>
      <c r="U32" s="4" t="inlineStr">
        <is>
          <t>baseline_predictors_only</t>
        </is>
      </c>
      <c r="V32" s="4" t="inlineStr">
        <is>
          <t>research_only_not_clinically_validated</t>
        </is>
      </c>
      <c r="W32" s="4" t="inlineStr">
        <is>
          <t>not_defined_pending_clinical_review</t>
        </is>
      </c>
      <c r="X32" s="4" t="inlineStr">
        <is>
          <t>yes</t>
        </is>
      </c>
      <c r="Y32" s="4" t="b">
        <v>0</v>
      </c>
      <c r="Z32" s="4" t="n">
        <v>181</v>
      </c>
      <c r="AA32" s="4" t="inlineStr">
        <is>
          <t>no</t>
        </is>
      </c>
      <c r="AB32" s="4" t="inlineStr">
        <is>
          <t>observed_synthetic_follow_up</t>
        </is>
      </c>
      <c r="AC32" s="4" t="inlineStr">
        <is>
          <t>high</t>
        </is>
      </c>
      <c r="AD32" s="4" t="inlineStr">
        <is>
          <t>baseline_predictors_only</t>
        </is>
      </c>
      <c r="AE32" s="4" t="inlineStr">
        <is>
          <t>research_only_not_clinically_validated</t>
        </is>
      </c>
      <c r="AF32" s="4" t="inlineStr">
        <is>
          <t>not_defined_pending_clinical_review</t>
        </is>
      </c>
    </row>
    <row r="33">
      <c r="A33" s="4" t="inlineStr">
        <is>
          <t>SYN-20260820-0026</t>
        </is>
      </c>
      <c r="B33" s="4" t="inlineStr">
        <is>
          <t>2026-02-09</t>
        </is>
      </c>
      <c r="C33" s="4" t="n">
        <v>78</v>
      </c>
      <c r="D33" s="4" t="inlineStr">
        <is>
          <t>male</t>
        </is>
      </c>
      <c r="E33" s="4" t="inlineStr">
        <is>
          <t>hepatobiliary</t>
        </is>
      </c>
      <c r="F33" s="4" t="inlineStr">
        <is>
          <t>III</t>
        </is>
      </c>
      <c r="G33" s="4" t="n">
        <v>170.2</v>
      </c>
      <c r="H33" s="4" t="n">
        <v>1</v>
      </c>
      <c r="I33" s="4" t="inlineStr">
        <is>
          <t>no</t>
        </is>
      </c>
      <c r="J33" s="4" t="inlineStr">
        <is>
          <t>yes</t>
        </is>
      </c>
      <c r="K33" s="4" t="n">
        <v>23.52005865774833</v>
      </c>
      <c r="L33" s="4" t="n">
        <v>2.603139205763785</v>
      </c>
      <c r="M33" s="4" t="inlineStr">
        <is>
          <t>unknown</t>
        </is>
      </c>
      <c r="N33" s="4" t="inlineStr">
        <is>
          <t>unknown</t>
        </is>
      </c>
      <c r="O33" s="4" t="inlineStr">
        <is>
          <t>unknown</t>
        </is>
      </c>
      <c r="P33" s="4" t="b">
        <v>0</v>
      </c>
      <c r="Q33" s="4" t="n">
        <v>89</v>
      </c>
      <c r="R33" s="4" t="inlineStr">
        <is>
          <t>unknown</t>
        </is>
      </c>
      <c r="S33" s="4" t="inlineStr">
        <is>
          <t>observed_synthetic_follow_up</t>
        </is>
      </c>
      <c r="T33" s="4" t="inlineStr">
        <is>
          <t>moderate</t>
        </is>
      </c>
      <c r="U33" s="4" t="inlineStr">
        <is>
          <t>baseline_predictors_only</t>
        </is>
      </c>
      <c r="V33" s="4" t="inlineStr">
        <is>
          <t>research_only_not_clinically_validated</t>
        </is>
      </c>
      <c r="W33" s="4" t="inlineStr">
        <is>
          <t>not_defined_pending_clinical_review</t>
        </is>
      </c>
      <c r="X33" s="4" t="inlineStr">
        <is>
          <t>unknown</t>
        </is>
      </c>
      <c r="Y33" s="4" t="b">
        <v>0</v>
      </c>
      <c r="Z33" s="4" t="n">
        <v>181</v>
      </c>
      <c r="AA33" s="4" t="inlineStr">
        <is>
          <t>unknown</t>
        </is>
      </c>
      <c r="AB33" s="4" t="inlineStr">
        <is>
          <t>observed_synthetic_follow_up</t>
        </is>
      </c>
      <c r="AC33" s="4" t="inlineStr">
        <is>
          <t>high</t>
        </is>
      </c>
      <c r="AD33" s="4" t="inlineStr">
        <is>
          <t>baseline_predictors_only</t>
        </is>
      </c>
      <c r="AE33" s="4" t="inlineStr">
        <is>
          <t>research_only_not_clinically_validated</t>
        </is>
      </c>
      <c r="AF33" s="4" t="inlineStr">
        <is>
          <t>not_defined_pending_clinical_review</t>
        </is>
      </c>
    </row>
    <row r="34">
      <c r="A34" s="4" t="inlineStr">
        <is>
          <t>SYN-20260820-0027</t>
        </is>
      </c>
      <c r="B34" s="4" t="inlineStr">
        <is>
          <t>2026-02-10</t>
        </is>
      </c>
      <c r="C34" s="4" t="n">
        <v>57</v>
      </c>
      <c r="D34" s="4" t="inlineStr">
        <is>
          <t>male</t>
        </is>
      </c>
      <c r="E34" s="4" t="inlineStr">
        <is>
          <t>prostate</t>
        </is>
      </c>
      <c r="F34" s="4" t="inlineStr">
        <is>
          <t>I</t>
        </is>
      </c>
      <c r="G34" s="4" t="n">
        <v>172</v>
      </c>
      <c r="H34" s="4" t="n">
        <v>0</v>
      </c>
      <c r="I34" s="4" t="inlineStr">
        <is>
          <t>yes</t>
        </is>
      </c>
      <c r="J34" s="4" t="inlineStr">
        <is>
          <t>no</t>
        </is>
      </c>
      <c r="K34" s="4" t="n">
        <v>27.43746619794484</v>
      </c>
      <c r="L34" s="4" t="n">
        <v>-1.599639517855139</v>
      </c>
      <c r="M34" s="4" t="inlineStr">
        <is>
          <t>no</t>
        </is>
      </c>
      <c r="N34" s="4" t="inlineStr">
        <is>
          <t>no</t>
        </is>
      </c>
      <c r="O34" s="4" t="inlineStr">
        <is>
          <t>no</t>
        </is>
      </c>
      <c r="P34" s="4" t="b">
        <v>0</v>
      </c>
      <c r="Q34" s="4" t="n">
        <v>89</v>
      </c>
      <c r="R34" s="4" t="inlineStr">
        <is>
          <t>no</t>
        </is>
      </c>
      <c r="S34" s="4" t="inlineStr">
        <is>
          <t>observed_synthetic_follow_up</t>
        </is>
      </c>
      <c r="T34" s="4" t="inlineStr">
        <is>
          <t>low</t>
        </is>
      </c>
      <c r="U34" s="4" t="inlineStr">
        <is>
          <t>baseline_predictors_only</t>
        </is>
      </c>
      <c r="V34" s="4" t="inlineStr">
        <is>
          <t>research_only_not_clinically_validated</t>
        </is>
      </c>
      <c r="W34" s="4" t="inlineStr">
        <is>
          <t>not_defined_pending_clinical_review</t>
        </is>
      </c>
      <c r="X34" s="4" t="inlineStr">
        <is>
          <t>no</t>
        </is>
      </c>
      <c r="Y34" s="4" t="b">
        <v>0</v>
      </c>
      <c r="Z34" s="4" t="n">
        <v>181</v>
      </c>
      <c r="AA34" s="4" t="inlineStr">
        <is>
          <t>no</t>
        </is>
      </c>
      <c r="AB34" s="4" t="inlineStr">
        <is>
          <t>observed_synthetic_follow_up</t>
        </is>
      </c>
      <c r="AC34" s="4" t="inlineStr">
        <is>
          <t>moderate</t>
        </is>
      </c>
      <c r="AD34" s="4" t="inlineStr">
        <is>
          <t>baseline_predictors_only</t>
        </is>
      </c>
      <c r="AE34" s="4" t="inlineStr">
        <is>
          <t>research_only_not_clinically_validated</t>
        </is>
      </c>
      <c r="AF34" s="4" t="inlineStr">
        <is>
          <t>not_defined_pending_clinical_review</t>
        </is>
      </c>
    </row>
    <row r="35">
      <c r="A35" s="4" t="inlineStr">
        <is>
          <t>SYN-20260820-0028</t>
        </is>
      </c>
      <c r="B35" s="4" t="inlineStr">
        <is>
          <t>2026-02-11</t>
        </is>
      </c>
      <c r="C35" s="4" t="n">
        <v>58</v>
      </c>
      <c r="D35" s="4" t="inlineStr">
        <is>
          <t>female</t>
        </is>
      </c>
      <c r="E35" s="4" t="inlineStr">
        <is>
          <t>head and neck</t>
        </is>
      </c>
      <c r="F35" s="4" t="inlineStr">
        <is>
          <t>IV</t>
        </is>
      </c>
      <c r="G35" s="4" t="n">
        <v>149.9</v>
      </c>
      <c r="H35" s="4" t="n">
        <v>2</v>
      </c>
      <c r="I35" s="4" t="inlineStr">
        <is>
          <t>yes</t>
        </is>
      </c>
      <c r="J35" s="4" t="inlineStr">
        <is>
          <t>no</t>
        </is>
      </c>
      <c r="K35" s="4" t="n">
        <v>26.93501248998109</v>
      </c>
      <c r="L35" s="4" t="n">
        <v>3.382714472717984</v>
      </c>
      <c r="M35" s="4" t="inlineStr">
        <is>
          <t>unknown</t>
        </is>
      </c>
      <c r="N35" s="4" t="inlineStr">
        <is>
          <t>unknown</t>
        </is>
      </c>
      <c r="O35" s="4" t="inlineStr">
        <is>
          <t>unknown</t>
        </is>
      </c>
      <c r="P35" s="4" t="b">
        <v>0</v>
      </c>
      <c r="Q35" s="4" t="n">
        <v>89</v>
      </c>
      <c r="R35" s="4" t="inlineStr">
        <is>
          <t>unknown</t>
        </is>
      </c>
      <c r="S35" s="4" t="inlineStr">
        <is>
          <t>observed_synthetic_follow_up</t>
        </is>
      </c>
      <c r="T35" s="4" t="inlineStr">
        <is>
          <t>high</t>
        </is>
      </c>
      <c r="U35" s="4" t="inlineStr">
        <is>
          <t>baseline_predictors_only</t>
        </is>
      </c>
      <c r="V35" s="4" t="inlineStr">
        <is>
          <t>research_only_not_clinically_validated</t>
        </is>
      </c>
      <c r="W35" s="4" t="inlineStr">
        <is>
          <t>not_defined_pending_clinical_review</t>
        </is>
      </c>
      <c r="X35" s="4" t="inlineStr">
        <is>
          <t>yes</t>
        </is>
      </c>
      <c r="Y35" s="4" t="b">
        <v>0</v>
      </c>
      <c r="Z35" s="4" t="n">
        <v>181</v>
      </c>
      <c r="AA35" s="4" t="inlineStr">
        <is>
          <t>no</t>
        </is>
      </c>
      <c r="AB35" s="4" t="inlineStr">
        <is>
          <t>observed_synthetic_follow_up</t>
        </is>
      </c>
      <c r="AC35" s="4" t="inlineStr">
        <is>
          <t>high</t>
        </is>
      </c>
      <c r="AD35" s="4" t="inlineStr">
        <is>
          <t>baseline_predictors_only</t>
        </is>
      </c>
      <c r="AE35" s="4" t="inlineStr">
        <is>
          <t>research_only_not_clinically_validated</t>
        </is>
      </c>
      <c r="AF35" s="4" t="inlineStr">
        <is>
          <t>not_defined_pending_clinical_review</t>
        </is>
      </c>
    </row>
    <row r="36">
      <c r="A36" s="4" t="inlineStr">
        <is>
          <t>SYN-20260820-0029</t>
        </is>
      </c>
      <c r="B36" s="4" t="inlineStr">
        <is>
          <t>2026-02-12</t>
        </is>
      </c>
      <c r="C36" s="4" t="n">
        <v>31</v>
      </c>
      <c r="D36" s="4" t="inlineStr">
        <is>
          <t>female</t>
        </is>
      </c>
      <c r="E36" s="4" t="inlineStr">
        <is>
          <t>gastric</t>
        </is>
      </c>
      <c r="F36" s="4" t="inlineStr">
        <is>
          <t>III</t>
        </is>
      </c>
      <c r="G36" s="4" t="n">
        <v>158.1</v>
      </c>
      <c r="H36" s="4" t="n">
        <v>2</v>
      </c>
      <c r="I36" s="4" t="inlineStr">
        <is>
          <t>yes</t>
        </is>
      </c>
      <c r="J36" s="4" t="inlineStr">
        <is>
          <t>no</t>
        </is>
      </c>
      <c r="K36" s="4" t="n">
        <v>25.75932333717801</v>
      </c>
      <c r="L36" s="4" t="n">
        <v>3.133744546411913</v>
      </c>
      <c r="M36" s="4" t="inlineStr">
        <is>
          <t>unknown</t>
        </is>
      </c>
      <c r="N36" s="4" t="inlineStr">
        <is>
          <t>unknown</t>
        </is>
      </c>
      <c r="O36" s="4" t="inlineStr">
        <is>
          <t>unknown</t>
        </is>
      </c>
      <c r="P36" s="4" t="b">
        <v>0</v>
      </c>
      <c r="Q36" s="4" t="n">
        <v>89</v>
      </c>
      <c r="R36" s="4" t="inlineStr">
        <is>
          <t>unknown</t>
        </is>
      </c>
      <c r="S36" s="4" t="inlineStr">
        <is>
          <t>observed_synthetic_follow_up</t>
        </is>
      </c>
      <c r="T36" s="4" t="inlineStr">
        <is>
          <t>high</t>
        </is>
      </c>
      <c r="U36" s="4" t="inlineStr">
        <is>
          <t>baseline_predictors_only</t>
        </is>
      </c>
      <c r="V36" s="4" t="inlineStr">
        <is>
          <t>research_only_not_clinically_validated</t>
        </is>
      </c>
      <c r="W36" s="4" t="inlineStr">
        <is>
          <t>not_defined_pending_clinical_review</t>
        </is>
      </c>
      <c r="X36" s="4" t="inlineStr">
        <is>
          <t>yes</t>
        </is>
      </c>
      <c r="Y36" s="4" t="b">
        <v>0</v>
      </c>
      <c r="Z36" s="4" t="n">
        <v>181</v>
      </c>
      <c r="AA36" s="4" t="inlineStr">
        <is>
          <t>no</t>
        </is>
      </c>
      <c r="AB36" s="4" t="inlineStr">
        <is>
          <t>observed_synthetic_follow_up</t>
        </is>
      </c>
      <c r="AC36" s="4" t="inlineStr">
        <is>
          <t>high</t>
        </is>
      </c>
      <c r="AD36" s="4" t="inlineStr">
        <is>
          <t>baseline_predictors_only</t>
        </is>
      </c>
      <c r="AE36" s="4" t="inlineStr">
        <is>
          <t>research_only_not_clinically_validated</t>
        </is>
      </c>
      <c r="AF36" s="4" t="inlineStr">
        <is>
          <t>not_defined_pending_clinical_review</t>
        </is>
      </c>
    </row>
    <row r="37">
      <c r="A37" s="4" t="inlineStr">
        <is>
          <t>SYN-20260820-0030</t>
        </is>
      </c>
      <c r="B37" s="4" t="inlineStr">
        <is>
          <t>2026-02-13</t>
        </is>
      </c>
      <c r="C37" s="4" t="n">
        <v>68</v>
      </c>
      <c r="D37" s="4" t="inlineStr">
        <is>
          <t>male</t>
        </is>
      </c>
      <c r="E37" s="4" t="inlineStr">
        <is>
          <t>other solid tumour</t>
        </is>
      </c>
      <c r="F37" s="4" t="inlineStr">
        <is>
          <t>II</t>
        </is>
      </c>
      <c r="G37" s="4" t="n">
        <v>181.6</v>
      </c>
      <c r="H37" s="4" t="n">
        <v>1</v>
      </c>
      <c r="I37" s="4" t="inlineStr">
        <is>
          <t>no</t>
        </is>
      </c>
      <c r="J37" s="4" t="inlineStr">
        <is>
          <t>unknown</t>
        </is>
      </c>
      <c r="K37" s="4" t="n">
        <v>30.91159832327428</v>
      </c>
      <c r="L37" s="4" t="n">
        <v>0.1028937646378668</v>
      </c>
      <c r="M37" s="4" t="inlineStr">
        <is>
          <t>no</t>
        </is>
      </c>
      <c r="N37" s="4" t="inlineStr">
        <is>
          <t>no</t>
        </is>
      </c>
      <c r="O37" s="4" t="inlineStr">
        <is>
          <t>no</t>
        </is>
      </c>
      <c r="P37" s="4" t="b">
        <v>0</v>
      </c>
      <c r="Q37" s="4" t="n">
        <v>89</v>
      </c>
      <c r="R37" s="4" t="inlineStr">
        <is>
          <t>yes</t>
        </is>
      </c>
      <c r="S37" s="4" t="inlineStr">
        <is>
          <t>observed_synthetic_follow_up</t>
        </is>
      </c>
      <c r="T37" s="4" t="inlineStr">
        <is>
          <t>low</t>
        </is>
      </c>
      <c r="U37" s="4" t="inlineStr">
        <is>
          <t>baseline_predictors_only</t>
        </is>
      </c>
      <c r="V37" s="4" t="inlineStr">
        <is>
          <t>research_only_not_clinically_validated</t>
        </is>
      </c>
      <c r="W37" s="4" t="inlineStr">
        <is>
          <t>not_defined_pending_clinical_review</t>
        </is>
      </c>
      <c r="X37" s="4" t="inlineStr">
        <is>
          <t>unknown</t>
        </is>
      </c>
      <c r="Y37" s="4" t="b">
        <v>0</v>
      </c>
      <c r="Z37" s="4" t="n">
        <v>181</v>
      </c>
      <c r="AA37" s="4" t="inlineStr">
        <is>
          <t>unknown</t>
        </is>
      </c>
      <c r="AB37" s="4" t="inlineStr">
        <is>
          <t>observed_synthetic_follow_up</t>
        </is>
      </c>
      <c r="AC37" s="4" t="inlineStr">
        <is>
          <t>low</t>
        </is>
      </c>
      <c r="AD37" s="4" t="inlineStr">
        <is>
          <t>baseline_predictors_only</t>
        </is>
      </c>
      <c r="AE37" s="4" t="inlineStr">
        <is>
          <t>research_only_not_clinically_validated</t>
        </is>
      </c>
      <c r="AF37" s="4" t="inlineStr">
        <is>
          <t>not_defined_pending_clinical_review</t>
        </is>
      </c>
    </row>
    <row r="38">
      <c r="A38" s="4" t="inlineStr">
        <is>
          <t>SYN-20260820-0031</t>
        </is>
      </c>
      <c r="B38" s="4" t="inlineStr">
        <is>
          <t>2026-02-14</t>
        </is>
      </c>
      <c r="C38" s="4" t="n">
        <v>57</v>
      </c>
      <c r="D38" s="4" t="inlineStr">
        <is>
          <t>male</t>
        </is>
      </c>
      <c r="E38" s="4" t="inlineStr">
        <is>
          <t>pancreatic</t>
        </is>
      </c>
      <c r="F38" s="4" t="inlineStr">
        <is>
          <t>I</t>
        </is>
      </c>
      <c r="G38" s="4" t="n">
        <v>186.1</v>
      </c>
      <c r="H38" s="4" t="n">
        <v>1</v>
      </c>
      <c r="I38" s="4" t="inlineStr">
        <is>
          <t>unknown</t>
        </is>
      </c>
      <c r="J38" s="4" t="inlineStr">
        <is>
          <t>no</t>
        </is>
      </c>
      <c r="K38" s="4" t="n">
        <v>20.55628109551497</v>
      </c>
      <c r="L38" s="4" t="n">
        <v>0.8688750574376476</v>
      </c>
      <c r="M38" s="4" t="inlineStr">
        <is>
          <t>no</t>
        </is>
      </c>
      <c r="N38" s="4" t="inlineStr">
        <is>
          <t>no</t>
        </is>
      </c>
      <c r="O38" s="4" t="inlineStr">
        <is>
          <t>unknown</t>
        </is>
      </c>
      <c r="P38" s="4" t="b">
        <v>0</v>
      </c>
      <c r="Q38" s="4" t="n">
        <v>89</v>
      </c>
      <c r="R38" s="4" t="inlineStr">
        <is>
          <t>unknown</t>
        </is>
      </c>
      <c r="S38" s="4" t="inlineStr">
        <is>
          <t>observed_synthetic_follow_up</t>
        </is>
      </c>
      <c r="T38" s="4" t="inlineStr">
        <is>
          <t>withheld</t>
        </is>
      </c>
      <c r="U38" s="4" t="inlineStr">
        <is>
          <t>baseline_predictors_only</t>
        </is>
      </c>
      <c r="V38" s="4" t="inlineStr">
        <is>
          <t>withheld_missing_required_baseline_predictors</t>
        </is>
      </c>
      <c r="W38" s="4" t="inlineStr">
        <is>
          <t>not_defined_pending_clinical_review</t>
        </is>
      </c>
      <c r="X38" s="4" t="inlineStr">
        <is>
          <t>yes</t>
        </is>
      </c>
      <c r="Y38" s="4" t="b">
        <v>0</v>
      </c>
      <c r="Z38" s="4" t="n">
        <v>181</v>
      </c>
      <c r="AA38" s="4" t="inlineStr">
        <is>
          <t>no</t>
        </is>
      </c>
      <c r="AB38" s="4" t="inlineStr">
        <is>
          <t>observed_synthetic_follow_up</t>
        </is>
      </c>
      <c r="AC38" s="4" t="inlineStr">
        <is>
          <t>withheld</t>
        </is>
      </c>
      <c r="AD38" s="4" t="inlineStr">
        <is>
          <t>baseline_predictors_only</t>
        </is>
      </c>
      <c r="AE38" s="4" t="inlineStr">
        <is>
          <t>withheld_missing_required_baseline_predictors</t>
        </is>
      </c>
      <c r="AF38" s="4" t="inlineStr">
        <is>
          <t>not_defined_pending_clinical_review</t>
        </is>
      </c>
    </row>
    <row r="39">
      <c r="A39" s="4" t="inlineStr">
        <is>
          <t>SYN-20260820-0032</t>
        </is>
      </c>
      <c r="B39" s="4" t="inlineStr">
        <is>
          <t>2026-02-15</t>
        </is>
      </c>
      <c r="C39" s="4" t="n">
        <v>50</v>
      </c>
      <c r="D39" s="4" t="inlineStr">
        <is>
          <t>male</t>
        </is>
      </c>
      <c r="E39" s="4" t="inlineStr">
        <is>
          <t>breast</t>
        </is>
      </c>
      <c r="F39" s="4" t="inlineStr">
        <is>
          <t>II</t>
        </is>
      </c>
      <c r="G39" s="4" t="n">
        <v>170.1</v>
      </c>
      <c r="H39" s="4" t="n">
        <v>2</v>
      </c>
      <c r="I39" s="4" t="inlineStr">
        <is>
          <t>yes</t>
        </is>
      </c>
      <c r="J39" s="4" t="inlineStr">
        <is>
          <t>no</t>
        </is>
      </c>
      <c r="K39" s="4" t="n">
        <v>17.85925974311892</v>
      </c>
      <c r="L39" s="4" t="n">
        <v>0.6307449713472615</v>
      </c>
      <c r="M39" s="4" t="inlineStr">
        <is>
          <t>no</t>
        </is>
      </c>
      <c r="N39" s="4" t="inlineStr">
        <is>
          <t>no</t>
        </is>
      </c>
      <c r="O39" s="4" t="inlineStr">
        <is>
          <t>no</t>
        </is>
      </c>
      <c r="P39" s="4" t="b">
        <v>0</v>
      </c>
      <c r="Q39" s="4" t="n">
        <v>89</v>
      </c>
      <c r="R39" s="4" t="inlineStr">
        <is>
          <t>no</t>
        </is>
      </c>
      <c r="S39" s="4" t="inlineStr">
        <is>
          <t>observed_synthetic_follow_up</t>
        </is>
      </c>
      <c r="T39" s="4" t="inlineStr">
        <is>
          <t>moderate</t>
        </is>
      </c>
      <c r="U39" s="4" t="inlineStr">
        <is>
          <t>baseline_predictors_only</t>
        </is>
      </c>
      <c r="V39" s="4" t="inlineStr">
        <is>
          <t>research_only_not_clinically_validated</t>
        </is>
      </c>
      <c r="W39" s="4" t="inlineStr">
        <is>
          <t>not_defined_pending_clinical_review</t>
        </is>
      </c>
      <c r="X39" s="4" t="inlineStr">
        <is>
          <t>no</t>
        </is>
      </c>
      <c r="Y39" s="4" t="b">
        <v>0</v>
      </c>
      <c r="Z39" s="4" t="n">
        <v>181</v>
      </c>
      <c r="AA39" s="4" t="inlineStr">
        <is>
          <t>no</t>
        </is>
      </c>
      <c r="AB39" s="4" t="inlineStr">
        <is>
          <t>observed_synthetic_follow_up</t>
        </is>
      </c>
      <c r="AC39" s="4" t="inlineStr">
        <is>
          <t>high</t>
        </is>
      </c>
      <c r="AD39" s="4" t="inlineStr">
        <is>
          <t>baseline_predictors_only</t>
        </is>
      </c>
      <c r="AE39" s="4" t="inlineStr">
        <is>
          <t>research_only_not_clinically_validated</t>
        </is>
      </c>
      <c r="AF39" s="4" t="inlineStr">
        <is>
          <t>not_defined_pending_clinical_review</t>
        </is>
      </c>
    </row>
    <row r="40">
      <c r="A40" s="4" t="inlineStr">
        <is>
          <t>SYN-20260820-0033</t>
        </is>
      </c>
      <c r="B40" s="4" t="inlineStr">
        <is>
          <t>2026-02-16</t>
        </is>
      </c>
      <c r="C40" s="4" t="n">
        <v>60</v>
      </c>
      <c r="D40" s="4" t="inlineStr">
        <is>
          <t>female</t>
        </is>
      </c>
      <c r="E40" s="4" t="inlineStr">
        <is>
          <t>pancreatic</t>
        </is>
      </c>
      <c r="F40" s="4" t="inlineStr">
        <is>
          <t>III</t>
        </is>
      </c>
      <c r="G40" s="4" t="n">
        <v>161.1</v>
      </c>
      <c r="H40" s="4" t="inlineStr">
        <is>
          <t>unknown</t>
        </is>
      </c>
      <c r="I40" s="4" t="inlineStr">
        <is>
          <t>yes</t>
        </is>
      </c>
      <c r="J40" s="4" t="inlineStr">
        <is>
          <t>no</t>
        </is>
      </c>
      <c r="K40" s="4" t="n">
        <v>40.29559349305924</v>
      </c>
      <c r="L40" s="4" t="n">
        <v>2.655608611879039</v>
      </c>
      <c r="M40" s="4" t="inlineStr">
        <is>
          <t>unknown</t>
        </is>
      </c>
      <c r="N40" s="4" t="inlineStr">
        <is>
          <t>unknown</t>
        </is>
      </c>
      <c r="O40" s="4" t="inlineStr">
        <is>
          <t>unknown</t>
        </is>
      </c>
      <c r="P40" s="4" t="b">
        <v>0</v>
      </c>
      <c r="Q40" s="4" t="n">
        <v>89</v>
      </c>
      <c r="R40" s="4" t="inlineStr">
        <is>
          <t>unknown</t>
        </is>
      </c>
      <c r="S40" s="4" t="inlineStr">
        <is>
          <t>observed_synthetic_follow_up</t>
        </is>
      </c>
      <c r="T40" s="4" t="inlineStr">
        <is>
          <t>withheld</t>
        </is>
      </c>
      <c r="U40" s="4" t="inlineStr">
        <is>
          <t>baseline_predictors_only</t>
        </is>
      </c>
      <c r="V40" s="4" t="inlineStr">
        <is>
          <t>withheld_missing_required_baseline_predictors</t>
        </is>
      </c>
      <c r="W40" s="4" t="inlineStr">
        <is>
          <t>not_defined_pending_clinical_review</t>
        </is>
      </c>
      <c r="X40" s="4" t="inlineStr">
        <is>
          <t>unknown</t>
        </is>
      </c>
      <c r="Y40" s="4" t="b">
        <v>0</v>
      </c>
      <c r="Z40" s="4" t="n">
        <v>181</v>
      </c>
      <c r="AA40" s="4" t="inlineStr">
        <is>
          <t>unknown</t>
        </is>
      </c>
      <c r="AB40" s="4" t="inlineStr">
        <is>
          <t>observed_synthetic_follow_up</t>
        </is>
      </c>
      <c r="AC40" s="4" t="inlineStr">
        <is>
          <t>withheld</t>
        </is>
      </c>
      <c r="AD40" s="4" t="inlineStr">
        <is>
          <t>baseline_predictors_only</t>
        </is>
      </c>
      <c r="AE40" s="4" t="inlineStr">
        <is>
          <t>withheld_missing_required_baseline_predictors</t>
        </is>
      </c>
      <c r="AF40" s="4" t="inlineStr">
        <is>
          <t>not_defined_pending_clinical_review</t>
        </is>
      </c>
    </row>
    <row r="41">
      <c r="A41" s="4" t="inlineStr">
        <is>
          <t>SYN-20260820-0034</t>
        </is>
      </c>
      <c r="B41" s="4" t="inlineStr">
        <is>
          <t>2026-02-17</t>
        </is>
      </c>
      <c r="C41" s="4" t="n">
        <v>57</v>
      </c>
      <c r="D41" s="4" t="inlineStr">
        <is>
          <t>female</t>
        </is>
      </c>
      <c r="E41" s="4" t="inlineStr">
        <is>
          <t>other solid tumour</t>
        </is>
      </c>
      <c r="F41" s="4" t="inlineStr">
        <is>
          <t>III</t>
        </is>
      </c>
      <c r="G41" s="4" t="n">
        <v>151.9</v>
      </c>
      <c r="H41" s="4" t="n">
        <v>1</v>
      </c>
      <c r="I41" s="4" t="inlineStr">
        <is>
          <t>yes</t>
        </is>
      </c>
      <c r="J41" s="4" t="inlineStr">
        <is>
          <t>no</t>
        </is>
      </c>
      <c r="K41" s="4" t="n">
        <v>34.41290721304555</v>
      </c>
      <c r="L41" s="4" t="n">
        <v>0.7797368388168934</v>
      </c>
      <c r="M41" s="4" t="inlineStr">
        <is>
          <t>no</t>
        </is>
      </c>
      <c r="N41" s="4" t="inlineStr">
        <is>
          <t>no</t>
        </is>
      </c>
      <c r="O41" s="4" t="inlineStr">
        <is>
          <t>no</t>
        </is>
      </c>
      <c r="P41" s="4" t="b">
        <v>0</v>
      </c>
      <c r="Q41" s="4" t="n">
        <v>89</v>
      </c>
      <c r="R41" s="4" t="inlineStr">
        <is>
          <t>no</t>
        </is>
      </c>
      <c r="S41" s="4" t="inlineStr">
        <is>
          <t>observed_synthetic_follow_up</t>
        </is>
      </c>
      <c r="T41" s="4" t="inlineStr">
        <is>
          <t>moderate</t>
        </is>
      </c>
      <c r="U41" s="4" t="inlineStr">
        <is>
          <t>baseline_predictors_only</t>
        </is>
      </c>
      <c r="V41" s="4" t="inlineStr">
        <is>
          <t>research_only_not_clinically_validated</t>
        </is>
      </c>
      <c r="W41" s="4" t="inlineStr">
        <is>
          <t>not_defined_pending_clinical_review</t>
        </is>
      </c>
      <c r="X41" s="4" t="inlineStr">
        <is>
          <t>no</t>
        </is>
      </c>
      <c r="Y41" s="4" t="b">
        <v>0</v>
      </c>
      <c r="Z41" s="4" t="n">
        <v>181</v>
      </c>
      <c r="AA41" s="4" t="inlineStr">
        <is>
          <t>no</t>
        </is>
      </c>
      <c r="AB41" s="4" t="inlineStr">
        <is>
          <t>observed_synthetic_follow_up</t>
        </is>
      </c>
      <c r="AC41" s="4" t="inlineStr">
        <is>
          <t>moderate</t>
        </is>
      </c>
      <c r="AD41" s="4" t="inlineStr">
        <is>
          <t>baseline_predictors_only</t>
        </is>
      </c>
      <c r="AE41" s="4" t="inlineStr">
        <is>
          <t>research_only_not_clinically_validated</t>
        </is>
      </c>
      <c r="AF41" s="4" t="inlineStr">
        <is>
          <t>not_defined_pending_clinical_review</t>
        </is>
      </c>
    </row>
    <row r="42">
      <c r="A42" s="4" t="inlineStr">
        <is>
          <t>SYN-20260820-0035</t>
        </is>
      </c>
      <c r="B42" s="4" t="inlineStr">
        <is>
          <t>2026-02-18</t>
        </is>
      </c>
      <c r="C42" s="4" t="n">
        <v>37</v>
      </c>
      <c r="D42" s="4" t="inlineStr">
        <is>
          <t>female</t>
        </is>
      </c>
      <c r="E42" s="4" t="inlineStr">
        <is>
          <t>gastric</t>
        </is>
      </c>
      <c r="F42" s="4" t="inlineStr">
        <is>
          <t>IV</t>
        </is>
      </c>
      <c r="G42" s="4" t="n">
        <v>162.7</v>
      </c>
      <c r="H42" s="4" t="n">
        <v>2</v>
      </c>
      <c r="I42" s="4" t="inlineStr">
        <is>
          <t>yes</t>
        </is>
      </c>
      <c r="J42" s="4" t="inlineStr">
        <is>
          <t>unknown</t>
        </is>
      </c>
      <c r="K42" s="4" t="n">
        <v>30.44392623102237</v>
      </c>
      <c r="L42" s="4" t="n">
        <v>3.960101058251511</v>
      </c>
      <c r="M42" s="4" t="inlineStr">
        <is>
          <t>unknown</t>
        </is>
      </c>
      <c r="N42" s="4" t="inlineStr">
        <is>
          <t>unknown</t>
        </is>
      </c>
      <c r="O42" s="4" t="inlineStr">
        <is>
          <t>unknown</t>
        </is>
      </c>
      <c r="P42" s="4" t="b">
        <v>0</v>
      </c>
      <c r="Q42" s="4" t="n">
        <v>89</v>
      </c>
      <c r="R42" s="4" t="inlineStr">
        <is>
          <t>unknown</t>
        </is>
      </c>
      <c r="S42" s="4" t="inlineStr">
        <is>
          <t>observed_synthetic_follow_up</t>
        </is>
      </c>
      <c r="T42" s="4" t="inlineStr">
        <is>
          <t>high</t>
        </is>
      </c>
      <c r="U42" s="4" t="inlineStr">
        <is>
          <t>baseline_predictors_only</t>
        </is>
      </c>
      <c r="V42" s="4" t="inlineStr">
        <is>
          <t>research_only_not_clinically_validated</t>
        </is>
      </c>
      <c r="W42" s="4" t="inlineStr">
        <is>
          <t>not_defined_pending_clinical_review</t>
        </is>
      </c>
      <c r="X42" s="4" t="inlineStr">
        <is>
          <t>yes</t>
        </is>
      </c>
      <c r="Y42" s="4" t="b">
        <v>0</v>
      </c>
      <c r="Z42" s="4" t="n">
        <v>181</v>
      </c>
      <c r="AA42" s="4" t="inlineStr">
        <is>
          <t>no</t>
        </is>
      </c>
      <c r="AB42" s="4" t="inlineStr">
        <is>
          <t>observed_synthetic_follow_up</t>
        </is>
      </c>
      <c r="AC42" s="4" t="inlineStr">
        <is>
          <t>high</t>
        </is>
      </c>
      <c r="AD42" s="4" t="inlineStr">
        <is>
          <t>baseline_predictors_only</t>
        </is>
      </c>
      <c r="AE42" s="4" t="inlineStr">
        <is>
          <t>research_only_not_clinically_validated</t>
        </is>
      </c>
      <c r="AF42" s="4" t="inlineStr">
        <is>
          <t>not_defined_pending_clinical_review</t>
        </is>
      </c>
    </row>
    <row r="43">
      <c r="A43" s="4" t="inlineStr">
        <is>
          <t>SYN-20260820-0036</t>
        </is>
      </c>
      <c r="B43" s="4" t="inlineStr">
        <is>
          <t>2026-02-19</t>
        </is>
      </c>
      <c r="C43" s="4" t="n">
        <v>66</v>
      </c>
      <c r="D43" s="4" t="inlineStr">
        <is>
          <t>female</t>
        </is>
      </c>
      <c r="E43" s="4" t="inlineStr">
        <is>
          <t>breast</t>
        </is>
      </c>
      <c r="F43" s="4" t="inlineStr">
        <is>
          <t>IV</t>
        </is>
      </c>
      <c r="G43" s="4" t="n">
        <v>160.7</v>
      </c>
      <c r="H43" s="4" t="n">
        <v>1</v>
      </c>
      <c r="I43" s="4" t="inlineStr">
        <is>
          <t>no</t>
        </is>
      </c>
      <c r="J43" s="4" t="inlineStr">
        <is>
          <t>unknown</t>
        </is>
      </c>
      <c r="K43" s="4" t="n">
        <v>41.17874157437378</v>
      </c>
      <c r="L43" s="4" t="n">
        <v>0.5210525823440838</v>
      </c>
      <c r="M43" s="4" t="inlineStr">
        <is>
          <t>no</t>
        </is>
      </c>
      <c r="N43" s="4" t="inlineStr">
        <is>
          <t>no</t>
        </is>
      </c>
      <c r="O43" s="4" t="inlineStr">
        <is>
          <t>no</t>
        </is>
      </c>
      <c r="P43" s="4" t="b">
        <v>0</v>
      </c>
      <c r="Q43" s="4" t="n">
        <v>89</v>
      </c>
      <c r="R43" s="4" t="inlineStr">
        <is>
          <t>no</t>
        </is>
      </c>
      <c r="S43" s="4" t="inlineStr">
        <is>
          <t>observed_synthetic_follow_up</t>
        </is>
      </c>
      <c r="T43" s="4" t="inlineStr">
        <is>
          <t>moderate</t>
        </is>
      </c>
      <c r="U43" s="4" t="inlineStr">
        <is>
          <t>baseline_predictors_only</t>
        </is>
      </c>
      <c r="V43" s="4" t="inlineStr">
        <is>
          <t>research_only_not_clinically_validated</t>
        </is>
      </c>
      <c r="W43" s="4" t="inlineStr">
        <is>
          <t>not_defined_pending_clinical_review</t>
        </is>
      </c>
      <c r="X43" s="4" t="inlineStr">
        <is>
          <t>unknown</t>
        </is>
      </c>
      <c r="Y43" s="4" t="b">
        <v>0</v>
      </c>
      <c r="Z43" s="4" t="n">
        <v>181</v>
      </c>
      <c r="AA43" s="4" t="inlineStr">
        <is>
          <t>unknown</t>
        </is>
      </c>
      <c r="AB43" s="4" t="inlineStr">
        <is>
          <t>observed_synthetic_follow_up</t>
        </is>
      </c>
      <c r="AC43" s="4" t="inlineStr">
        <is>
          <t>moderate</t>
        </is>
      </c>
      <c r="AD43" s="4" t="inlineStr">
        <is>
          <t>baseline_predictors_only</t>
        </is>
      </c>
      <c r="AE43" s="4" t="inlineStr">
        <is>
          <t>research_only_not_clinically_validated</t>
        </is>
      </c>
      <c r="AF43" s="4" t="inlineStr">
        <is>
          <t>not_defined_pending_clinical_review</t>
        </is>
      </c>
    </row>
    <row r="44">
      <c r="A44" s="4" t="inlineStr">
        <is>
          <t>SYN-20260820-0037</t>
        </is>
      </c>
      <c r="B44" s="4" t="inlineStr">
        <is>
          <t>2026-02-20</t>
        </is>
      </c>
      <c r="C44" s="4" t="n">
        <v>58</v>
      </c>
      <c r="D44" s="4" t="inlineStr">
        <is>
          <t>female</t>
        </is>
      </c>
      <c r="E44" s="4" t="inlineStr">
        <is>
          <t>hepatobiliary</t>
        </is>
      </c>
      <c r="F44" s="4" t="inlineStr">
        <is>
          <t>I</t>
        </is>
      </c>
      <c r="G44" s="4" t="n">
        <v>165.2</v>
      </c>
      <c r="H44" s="4" t="n">
        <v>2</v>
      </c>
      <c r="I44" s="4" t="inlineStr">
        <is>
          <t>yes</t>
        </is>
      </c>
      <c r="J44" s="4" t="inlineStr">
        <is>
          <t>no</t>
        </is>
      </c>
      <c r="K44" s="4" t="n">
        <v>19.42065967438398</v>
      </c>
      <c r="L44" s="4" t="n">
        <v>2.594968114237405</v>
      </c>
      <c r="M44" s="4" t="inlineStr">
        <is>
          <t>yes</t>
        </is>
      </c>
      <c r="N44" s="4" t="inlineStr">
        <is>
          <t>no</t>
        </is>
      </c>
      <c r="O44" s="4" t="inlineStr">
        <is>
          <t>no</t>
        </is>
      </c>
      <c r="P44" s="4" t="b">
        <v>0</v>
      </c>
      <c r="Q44" s="4" t="n">
        <v>89</v>
      </c>
      <c r="R44" s="4" t="inlineStr">
        <is>
          <t>yes</t>
        </is>
      </c>
      <c r="S44" s="4" t="inlineStr">
        <is>
          <t>observed_synthetic_follow_up</t>
        </is>
      </c>
      <c r="T44" s="4" t="inlineStr">
        <is>
          <t>high</t>
        </is>
      </c>
      <c r="U44" s="4" t="inlineStr">
        <is>
          <t>baseline_predictors_only</t>
        </is>
      </c>
      <c r="V44" s="4" t="inlineStr">
        <is>
          <t>research_only_not_clinically_validated</t>
        </is>
      </c>
      <c r="W44" s="4" t="inlineStr">
        <is>
          <t>not_defined_pending_clinical_review</t>
        </is>
      </c>
      <c r="X44" s="4" t="inlineStr">
        <is>
          <t>yes</t>
        </is>
      </c>
      <c r="Y44" s="4" t="b">
        <v>0</v>
      </c>
      <c r="Z44" s="4" t="n">
        <v>181</v>
      </c>
      <c r="AA44" s="4" t="inlineStr">
        <is>
          <t>no</t>
        </is>
      </c>
      <c r="AB44" s="4" t="inlineStr">
        <is>
          <t>observed_synthetic_follow_up</t>
        </is>
      </c>
      <c r="AC44" s="4" t="inlineStr">
        <is>
          <t>high</t>
        </is>
      </c>
      <c r="AD44" s="4" t="inlineStr">
        <is>
          <t>baseline_predictors_only</t>
        </is>
      </c>
      <c r="AE44" s="4" t="inlineStr">
        <is>
          <t>research_only_not_clinically_validated</t>
        </is>
      </c>
      <c r="AF44" s="4" t="inlineStr">
        <is>
          <t>not_defined_pending_clinical_review</t>
        </is>
      </c>
    </row>
    <row r="45">
      <c r="A45" s="4" t="inlineStr">
        <is>
          <t>SYN-20260820-0038</t>
        </is>
      </c>
      <c r="B45" s="4" t="inlineStr">
        <is>
          <t>2026-02-21</t>
        </is>
      </c>
      <c r="C45" s="4" t="n">
        <v>53</v>
      </c>
      <c r="D45" s="4" t="inlineStr">
        <is>
          <t>male</t>
        </is>
      </c>
      <c r="E45" s="4" t="inlineStr">
        <is>
          <t>gastric</t>
        </is>
      </c>
      <c r="F45" s="4" t="inlineStr">
        <is>
          <t>IV</t>
        </is>
      </c>
      <c r="G45" s="4" t="n">
        <v>178.9</v>
      </c>
      <c r="H45" s="4" t="n">
        <v>2</v>
      </c>
      <c r="I45" s="4" t="inlineStr">
        <is>
          <t>no</t>
        </is>
      </c>
      <c r="J45" s="4" t="inlineStr">
        <is>
          <t>no</t>
        </is>
      </c>
      <c r="K45" s="4" t="n">
        <v>30.68437919951158</v>
      </c>
      <c r="L45" s="4" t="n">
        <v>3.643089119791201</v>
      </c>
      <c r="M45" s="4" t="inlineStr">
        <is>
          <t>unknown</t>
        </is>
      </c>
      <c r="N45" s="4" t="inlineStr">
        <is>
          <t>unknown</t>
        </is>
      </c>
      <c r="O45" s="4" t="inlineStr">
        <is>
          <t>unknown</t>
        </is>
      </c>
      <c r="P45" s="4" t="b">
        <v>0</v>
      </c>
      <c r="Q45" s="4" t="n">
        <v>89</v>
      </c>
      <c r="R45" s="4" t="inlineStr">
        <is>
          <t>unknown</t>
        </is>
      </c>
      <c r="S45" s="4" t="inlineStr">
        <is>
          <t>observed_synthetic_follow_up</t>
        </is>
      </c>
      <c r="T45" s="4" t="inlineStr">
        <is>
          <t>high</t>
        </is>
      </c>
      <c r="U45" s="4" t="inlineStr">
        <is>
          <t>baseline_predictors_only</t>
        </is>
      </c>
      <c r="V45" s="4" t="inlineStr">
        <is>
          <t>research_only_not_clinically_validated</t>
        </is>
      </c>
      <c r="W45" s="4" t="inlineStr">
        <is>
          <t>not_defined_pending_clinical_review</t>
        </is>
      </c>
      <c r="X45" s="4" t="inlineStr">
        <is>
          <t>yes</t>
        </is>
      </c>
      <c r="Y45" s="4" t="b">
        <v>0</v>
      </c>
      <c r="Z45" s="4" t="n">
        <v>181</v>
      </c>
      <c r="AA45" s="4" t="inlineStr">
        <is>
          <t>no</t>
        </is>
      </c>
      <c r="AB45" s="4" t="inlineStr">
        <is>
          <t>observed_synthetic_follow_up</t>
        </is>
      </c>
      <c r="AC45" s="4" t="inlineStr">
        <is>
          <t>high</t>
        </is>
      </c>
      <c r="AD45" s="4" t="inlineStr">
        <is>
          <t>baseline_predictors_only</t>
        </is>
      </c>
      <c r="AE45" s="4" t="inlineStr">
        <is>
          <t>research_only_not_clinically_validated</t>
        </is>
      </c>
      <c r="AF45" s="4" t="inlineStr">
        <is>
          <t>not_defined_pending_clinical_review</t>
        </is>
      </c>
    </row>
    <row r="46">
      <c r="A46" s="4" t="inlineStr">
        <is>
          <t>SYN-20260820-0039</t>
        </is>
      </c>
      <c r="B46" s="4" t="inlineStr">
        <is>
          <t>2026-02-22</t>
        </is>
      </c>
      <c r="C46" s="4" t="n">
        <v>75</v>
      </c>
      <c r="D46" s="4" t="inlineStr">
        <is>
          <t>male</t>
        </is>
      </c>
      <c r="E46" s="4" t="inlineStr">
        <is>
          <t>other solid tumour</t>
        </is>
      </c>
      <c r="F46" s="4" t="inlineStr">
        <is>
          <t>II</t>
        </is>
      </c>
      <c r="G46" s="4" t="n">
        <v>177</v>
      </c>
      <c r="H46" s="4" t="n">
        <v>3</v>
      </c>
      <c r="I46" s="4" t="inlineStr">
        <is>
          <t>no</t>
        </is>
      </c>
      <c r="J46" s="4" t="inlineStr">
        <is>
          <t>unknown</t>
        </is>
      </c>
      <c r="K46" s="4" t="n">
        <v>15.93220338983051</v>
      </c>
      <c r="L46" s="4" t="n">
        <v>1.33233177828734</v>
      </c>
      <c r="M46" s="4" t="inlineStr">
        <is>
          <t>no</t>
        </is>
      </c>
      <c r="N46" s="4" t="inlineStr">
        <is>
          <t>no</t>
        </is>
      </c>
      <c r="O46" s="4" t="inlineStr">
        <is>
          <t>no</t>
        </is>
      </c>
      <c r="P46" s="4" t="b">
        <v>0</v>
      </c>
      <c r="Q46" s="4" t="n">
        <v>89</v>
      </c>
      <c r="R46" s="4" t="inlineStr">
        <is>
          <t>no</t>
        </is>
      </c>
      <c r="S46" s="4" t="inlineStr">
        <is>
          <t>observed_synthetic_follow_up</t>
        </is>
      </c>
      <c r="T46" s="4" t="inlineStr">
        <is>
          <t>moderate</t>
        </is>
      </c>
      <c r="U46" s="4" t="inlineStr">
        <is>
          <t>baseline_predictors_only</t>
        </is>
      </c>
      <c r="V46" s="4" t="inlineStr">
        <is>
          <t>research_only_not_clinically_validated</t>
        </is>
      </c>
      <c r="W46" s="4" t="inlineStr">
        <is>
          <t>not_defined_pending_clinical_review</t>
        </is>
      </c>
      <c r="X46" s="4" t="inlineStr">
        <is>
          <t>no</t>
        </is>
      </c>
      <c r="Y46" s="4" t="b">
        <v>0</v>
      </c>
      <c r="Z46" s="4" t="n">
        <v>181</v>
      </c>
      <c r="AA46" s="4" t="inlineStr">
        <is>
          <t>no</t>
        </is>
      </c>
      <c r="AB46" s="4" t="inlineStr">
        <is>
          <t>observed_synthetic_follow_up</t>
        </is>
      </c>
      <c r="AC46" s="4" t="inlineStr">
        <is>
          <t>high</t>
        </is>
      </c>
      <c r="AD46" s="4" t="inlineStr">
        <is>
          <t>baseline_predictors_only</t>
        </is>
      </c>
      <c r="AE46" s="4" t="inlineStr">
        <is>
          <t>research_only_not_clinically_validated</t>
        </is>
      </c>
      <c r="AF46" s="4" t="inlineStr">
        <is>
          <t>not_defined_pending_clinical_review</t>
        </is>
      </c>
    </row>
    <row r="47">
      <c r="A47" s="4" t="inlineStr">
        <is>
          <t>SYN-20260820-0040</t>
        </is>
      </c>
      <c r="B47" s="4" t="inlineStr">
        <is>
          <t>2026-02-23</t>
        </is>
      </c>
      <c r="C47" s="4" t="n">
        <v>66</v>
      </c>
      <c r="D47" s="4" t="inlineStr">
        <is>
          <t>male</t>
        </is>
      </c>
      <c r="E47" s="4" t="inlineStr">
        <is>
          <t>head and neck</t>
        </is>
      </c>
      <c r="F47" s="4" t="inlineStr">
        <is>
          <t>IV</t>
        </is>
      </c>
      <c r="G47" s="4" t="n">
        <v>182.2</v>
      </c>
      <c r="H47" s="4" t="n">
        <v>0</v>
      </c>
      <c r="I47" s="4" t="inlineStr">
        <is>
          <t>yes</t>
        </is>
      </c>
      <c r="J47" s="4" t="inlineStr">
        <is>
          <t>unknown</t>
        </is>
      </c>
      <c r="K47" s="4" t="n">
        <v>29.19735733883105</v>
      </c>
      <c r="L47" s="4" t="n">
        <v>2.267708595916305</v>
      </c>
      <c r="M47" s="4" t="inlineStr">
        <is>
          <t>unknown</t>
        </is>
      </c>
      <c r="N47" s="4" t="inlineStr">
        <is>
          <t>unknown</t>
        </is>
      </c>
      <c r="O47" s="4" t="inlineStr">
        <is>
          <t>unknown</t>
        </is>
      </c>
      <c r="P47" s="4" t="b">
        <v>0</v>
      </c>
      <c r="Q47" s="4" t="n">
        <v>89</v>
      </c>
      <c r="R47" s="4" t="inlineStr">
        <is>
          <t>unknown</t>
        </is>
      </c>
      <c r="S47" s="4" t="inlineStr">
        <is>
          <t>observed_synthetic_follow_up</t>
        </is>
      </c>
      <c r="T47" s="4" t="inlineStr">
        <is>
          <t>high</t>
        </is>
      </c>
      <c r="U47" s="4" t="inlineStr">
        <is>
          <t>baseline_predictors_only</t>
        </is>
      </c>
      <c r="V47" s="4" t="inlineStr">
        <is>
          <t>research_only_not_clinically_validated</t>
        </is>
      </c>
      <c r="W47" s="4" t="inlineStr">
        <is>
          <t>not_defined_pending_clinical_review</t>
        </is>
      </c>
      <c r="X47" s="4" t="inlineStr">
        <is>
          <t>yes</t>
        </is>
      </c>
      <c r="Y47" s="4" t="b">
        <v>0</v>
      </c>
      <c r="Z47" s="4" t="n">
        <v>181</v>
      </c>
      <c r="AA47" s="4" t="inlineStr">
        <is>
          <t>no</t>
        </is>
      </c>
      <c r="AB47" s="4" t="inlineStr">
        <is>
          <t>observed_synthetic_follow_up</t>
        </is>
      </c>
      <c r="AC47" s="4" t="inlineStr">
        <is>
          <t>high</t>
        </is>
      </c>
      <c r="AD47" s="4" t="inlineStr">
        <is>
          <t>baseline_predictors_only</t>
        </is>
      </c>
      <c r="AE47" s="4" t="inlineStr">
        <is>
          <t>research_only_not_clinically_validated</t>
        </is>
      </c>
      <c r="AF47" s="4" t="inlineStr">
        <is>
          <t>not_defined_pending_clinical_review</t>
        </is>
      </c>
    </row>
    <row r="48">
      <c r="A48" s="4" t="inlineStr">
        <is>
          <t>SYN-20260820-0041</t>
        </is>
      </c>
      <c r="B48" s="4" t="inlineStr">
        <is>
          <t>2026-02-24</t>
        </is>
      </c>
      <c r="C48" s="4" t="n">
        <v>82</v>
      </c>
      <c r="D48" s="4" t="inlineStr">
        <is>
          <t>female</t>
        </is>
      </c>
      <c r="E48" s="4" t="inlineStr">
        <is>
          <t>lung</t>
        </is>
      </c>
      <c r="F48" s="4" t="inlineStr">
        <is>
          <t>IV</t>
        </is>
      </c>
      <c r="G48" s="4" t="n">
        <v>161.5</v>
      </c>
      <c r="H48" s="4" t="n">
        <v>1</v>
      </c>
      <c r="I48" s="4" t="inlineStr">
        <is>
          <t>yes</t>
        </is>
      </c>
      <c r="J48" s="4" t="inlineStr">
        <is>
          <t>no</t>
        </is>
      </c>
      <c r="K48" s="4" t="n">
        <v>27.01569074753903</v>
      </c>
      <c r="L48" s="4" t="n">
        <v>2.798929537052379</v>
      </c>
      <c r="M48" s="4" t="inlineStr">
        <is>
          <t>unknown</t>
        </is>
      </c>
      <c r="N48" s="4" t="inlineStr">
        <is>
          <t>unknown</t>
        </is>
      </c>
      <c r="O48" s="4" t="inlineStr">
        <is>
          <t>unknown</t>
        </is>
      </c>
      <c r="P48" s="4" t="b">
        <v>0</v>
      </c>
      <c r="Q48" s="4" t="n">
        <v>89</v>
      </c>
      <c r="R48" s="4" t="inlineStr">
        <is>
          <t>unknown</t>
        </is>
      </c>
      <c r="S48" s="4" t="inlineStr">
        <is>
          <t>observed_synthetic_follow_up</t>
        </is>
      </c>
      <c r="T48" s="4" t="inlineStr">
        <is>
          <t>high</t>
        </is>
      </c>
      <c r="U48" s="4" t="inlineStr">
        <is>
          <t>baseline_predictors_only</t>
        </is>
      </c>
      <c r="V48" s="4" t="inlineStr">
        <is>
          <t>research_only_not_clinically_validated</t>
        </is>
      </c>
      <c r="W48" s="4" t="inlineStr">
        <is>
          <t>not_defined_pending_clinical_review</t>
        </is>
      </c>
      <c r="X48" s="4" t="inlineStr">
        <is>
          <t>unknown</t>
        </is>
      </c>
      <c r="Y48" s="4" t="b">
        <v>0</v>
      </c>
      <c r="Z48" s="4" t="n">
        <v>181</v>
      </c>
      <c r="AA48" s="4" t="inlineStr">
        <is>
          <t>unknown</t>
        </is>
      </c>
      <c r="AB48" s="4" t="inlineStr">
        <is>
          <t>observed_synthetic_follow_up</t>
        </is>
      </c>
      <c r="AC48" s="4" t="inlineStr">
        <is>
          <t>high</t>
        </is>
      </c>
      <c r="AD48" s="4" t="inlineStr">
        <is>
          <t>baseline_predictors_only</t>
        </is>
      </c>
      <c r="AE48" s="4" t="inlineStr">
        <is>
          <t>research_only_not_clinically_validated</t>
        </is>
      </c>
      <c r="AF48" s="4" t="inlineStr">
        <is>
          <t>not_defined_pending_clinical_review</t>
        </is>
      </c>
    </row>
    <row r="49">
      <c r="A49" s="4" t="inlineStr">
        <is>
          <t>SYN-20260820-0042</t>
        </is>
      </c>
      <c r="B49" s="4" t="inlineStr">
        <is>
          <t>2026-02-25</t>
        </is>
      </c>
      <c r="C49" s="4" t="n">
        <v>51</v>
      </c>
      <c r="D49" s="4" t="inlineStr">
        <is>
          <t>female</t>
        </is>
      </c>
      <c r="E49" s="4" t="inlineStr">
        <is>
          <t>colorectal</t>
        </is>
      </c>
      <c r="F49" s="4" t="inlineStr">
        <is>
          <t>IV</t>
        </is>
      </c>
      <c r="G49" s="4" t="n">
        <v>170</v>
      </c>
      <c r="H49" s="4" t="n">
        <v>1</v>
      </c>
      <c r="I49" s="4" t="inlineStr">
        <is>
          <t>no</t>
        </is>
      </c>
      <c r="J49" s="4" t="inlineStr">
        <is>
          <t>unknown</t>
        </is>
      </c>
      <c r="K49" s="4" t="n">
        <v>28.47024221453287</v>
      </c>
      <c r="L49" s="4" t="n">
        <v>2.14200761179829</v>
      </c>
      <c r="M49" s="4" t="inlineStr">
        <is>
          <t>unknown</t>
        </is>
      </c>
      <c r="N49" s="4" t="inlineStr">
        <is>
          <t>unknown</t>
        </is>
      </c>
      <c r="O49" s="4" t="inlineStr">
        <is>
          <t>unknown</t>
        </is>
      </c>
      <c r="P49" s="4" t="b">
        <v>0</v>
      </c>
      <c r="Q49" s="4" t="n">
        <v>89</v>
      </c>
      <c r="R49" s="4" t="inlineStr">
        <is>
          <t>unknown</t>
        </is>
      </c>
      <c r="S49" s="4" t="inlineStr">
        <is>
          <t>observed_synthetic_follow_up</t>
        </is>
      </c>
      <c r="T49" s="4" t="inlineStr">
        <is>
          <t>moderate</t>
        </is>
      </c>
      <c r="U49" s="4" t="inlineStr">
        <is>
          <t>baseline_predictors_only</t>
        </is>
      </c>
      <c r="V49" s="4" t="inlineStr">
        <is>
          <t>research_only_not_clinically_validated</t>
        </is>
      </c>
      <c r="W49" s="4" t="inlineStr">
        <is>
          <t>not_defined_pending_clinical_review</t>
        </is>
      </c>
      <c r="X49" s="4" t="inlineStr">
        <is>
          <t>unknown</t>
        </is>
      </c>
      <c r="Y49" s="4" t="b">
        <v>0</v>
      </c>
      <c r="Z49" s="4" t="n">
        <v>181</v>
      </c>
      <c r="AA49" s="4" t="inlineStr">
        <is>
          <t>unknown</t>
        </is>
      </c>
      <c r="AB49" s="4" t="inlineStr">
        <is>
          <t>observed_synthetic_follow_up</t>
        </is>
      </c>
      <c r="AC49" s="4" t="inlineStr">
        <is>
          <t>moderate</t>
        </is>
      </c>
      <c r="AD49" s="4" t="inlineStr">
        <is>
          <t>baseline_predictors_only</t>
        </is>
      </c>
      <c r="AE49" s="4" t="inlineStr">
        <is>
          <t>research_only_not_clinically_validated</t>
        </is>
      </c>
      <c r="AF49" s="4" t="inlineStr">
        <is>
          <t>not_defined_pending_clinical_review</t>
        </is>
      </c>
    </row>
    <row r="50">
      <c r="A50" s="4" t="inlineStr">
        <is>
          <t>SYN-20260820-0043</t>
        </is>
      </c>
      <c r="B50" s="4" t="inlineStr">
        <is>
          <t>2026-02-26</t>
        </is>
      </c>
      <c r="C50" s="4" t="n">
        <v>45</v>
      </c>
      <c r="D50" s="4" t="inlineStr">
        <is>
          <t>male</t>
        </is>
      </c>
      <c r="E50" s="4" t="inlineStr">
        <is>
          <t>lung</t>
        </is>
      </c>
      <c r="F50" s="4" t="inlineStr">
        <is>
          <t>III</t>
        </is>
      </c>
      <c r="G50" s="4" t="n">
        <v>178.5</v>
      </c>
      <c r="H50" s="4" t="n">
        <v>2</v>
      </c>
      <c r="I50" s="4" t="inlineStr">
        <is>
          <t>yes</t>
        </is>
      </c>
      <c r="J50" s="4" t="inlineStr">
        <is>
          <t>yes</t>
        </is>
      </c>
      <c r="K50" s="4" t="n">
        <v>25.3591632731524</v>
      </c>
      <c r="L50" s="4" t="n">
        <v>1.950077056560728</v>
      </c>
      <c r="M50" s="4" t="inlineStr">
        <is>
          <t>no</t>
        </is>
      </c>
      <c r="N50" s="4" t="inlineStr">
        <is>
          <t>yes</t>
        </is>
      </c>
      <c r="O50" s="4" t="inlineStr">
        <is>
          <t>no</t>
        </is>
      </c>
      <c r="P50" s="4" t="b">
        <v>0</v>
      </c>
      <c r="Q50" s="4" t="n">
        <v>89</v>
      </c>
      <c r="R50" s="4" t="inlineStr">
        <is>
          <t>no</t>
        </is>
      </c>
      <c r="S50" s="4" t="inlineStr">
        <is>
          <t>observed_synthetic_follow_up</t>
        </is>
      </c>
      <c r="T50" s="4" t="inlineStr">
        <is>
          <t>high</t>
        </is>
      </c>
      <c r="U50" s="4" t="inlineStr">
        <is>
          <t>baseline_predictors_only</t>
        </is>
      </c>
      <c r="V50" s="4" t="inlineStr">
        <is>
          <t>research_only_not_clinically_validated</t>
        </is>
      </c>
      <c r="W50" s="4" t="inlineStr">
        <is>
          <t>not_defined_pending_clinical_review</t>
        </is>
      </c>
      <c r="X50" s="4" t="inlineStr">
        <is>
          <t>no</t>
        </is>
      </c>
      <c r="Y50" s="4" t="b">
        <v>0</v>
      </c>
      <c r="Z50" s="4" t="n">
        <v>181</v>
      </c>
      <c r="AA50" s="4" t="inlineStr">
        <is>
          <t>no</t>
        </is>
      </c>
      <c r="AB50" s="4" t="inlineStr">
        <is>
          <t>observed_synthetic_follow_up</t>
        </is>
      </c>
      <c r="AC50" s="4" t="inlineStr">
        <is>
          <t>high</t>
        </is>
      </c>
      <c r="AD50" s="4" t="inlineStr">
        <is>
          <t>baseline_predictors_only</t>
        </is>
      </c>
      <c r="AE50" s="4" t="inlineStr">
        <is>
          <t>research_only_not_clinically_validated</t>
        </is>
      </c>
      <c r="AF50" s="4" t="inlineStr">
        <is>
          <t>not_defined_pending_clinical_review</t>
        </is>
      </c>
    </row>
    <row r="51">
      <c r="A51" s="4" t="inlineStr">
        <is>
          <t>SYN-20260820-0044</t>
        </is>
      </c>
      <c r="B51" s="4" t="inlineStr">
        <is>
          <t>2026-02-27</t>
        </is>
      </c>
      <c r="C51" s="4" t="n">
        <v>70</v>
      </c>
      <c r="D51" s="4" t="inlineStr">
        <is>
          <t>male</t>
        </is>
      </c>
      <c r="E51" s="4" t="inlineStr">
        <is>
          <t>hepatobiliary</t>
        </is>
      </c>
      <c r="F51" s="4" t="inlineStr">
        <is>
          <t>I</t>
        </is>
      </c>
      <c r="G51" s="4" t="n">
        <v>181.1</v>
      </c>
      <c r="H51" s="4" t="inlineStr">
        <is>
          <t>unknown</t>
        </is>
      </c>
      <c r="I51" s="4" t="inlineStr">
        <is>
          <t>no</t>
        </is>
      </c>
      <c r="J51" s="4" t="inlineStr">
        <is>
          <t>no</t>
        </is>
      </c>
      <c r="K51" s="4" t="n">
        <v>29.02990833671523</v>
      </c>
      <c r="L51" s="4" t="n">
        <v>1.295873937383371</v>
      </c>
      <c r="M51" s="4" t="inlineStr">
        <is>
          <t>no</t>
        </is>
      </c>
      <c r="N51" s="4" t="inlineStr">
        <is>
          <t>no</t>
        </is>
      </c>
      <c r="O51" s="4" t="inlineStr">
        <is>
          <t>no</t>
        </is>
      </c>
      <c r="P51" s="4" t="b">
        <v>0</v>
      </c>
      <c r="Q51" s="4" t="n">
        <v>89</v>
      </c>
      <c r="R51" s="4" t="inlineStr">
        <is>
          <t>no</t>
        </is>
      </c>
      <c r="S51" s="4" t="inlineStr">
        <is>
          <t>observed_synthetic_follow_up</t>
        </is>
      </c>
      <c r="T51" s="4" t="inlineStr">
        <is>
          <t>withheld</t>
        </is>
      </c>
      <c r="U51" s="4" t="inlineStr">
        <is>
          <t>baseline_predictors_only</t>
        </is>
      </c>
      <c r="V51" s="4" t="inlineStr">
        <is>
          <t>withheld_missing_required_baseline_predictors</t>
        </is>
      </c>
      <c r="W51" s="4" t="inlineStr">
        <is>
          <t>not_defined_pending_clinical_review</t>
        </is>
      </c>
      <c r="X51" s="4" t="inlineStr">
        <is>
          <t>unknown</t>
        </is>
      </c>
      <c r="Y51" s="4" t="b">
        <v>0</v>
      </c>
      <c r="Z51" s="4" t="n">
        <v>181</v>
      </c>
      <c r="AA51" s="4" t="inlineStr">
        <is>
          <t>unknown</t>
        </is>
      </c>
      <c r="AB51" s="4" t="inlineStr">
        <is>
          <t>observed_synthetic_follow_up</t>
        </is>
      </c>
      <c r="AC51" s="4" t="inlineStr">
        <is>
          <t>withheld</t>
        </is>
      </c>
      <c r="AD51" s="4" t="inlineStr">
        <is>
          <t>baseline_predictors_only</t>
        </is>
      </c>
      <c r="AE51" s="4" t="inlineStr">
        <is>
          <t>withheld_missing_required_baseline_predictors</t>
        </is>
      </c>
      <c r="AF51" s="4" t="inlineStr">
        <is>
          <t>not_defined_pending_clinical_review</t>
        </is>
      </c>
    </row>
    <row r="52">
      <c r="A52" s="4" t="inlineStr">
        <is>
          <t>SYN-20260820-0045</t>
        </is>
      </c>
      <c r="B52" s="4" t="inlineStr">
        <is>
          <t>2026-02-28</t>
        </is>
      </c>
      <c r="C52" s="4" t="n">
        <v>66</v>
      </c>
      <c r="D52" s="4" t="inlineStr">
        <is>
          <t>male</t>
        </is>
      </c>
      <c r="E52" s="4" t="inlineStr">
        <is>
          <t>other solid tumour</t>
        </is>
      </c>
      <c r="F52" s="4" t="inlineStr">
        <is>
          <t>III</t>
        </is>
      </c>
      <c r="G52" s="4" t="n">
        <v>171</v>
      </c>
      <c r="H52" s="4" t="inlineStr">
        <is>
          <t>unknown</t>
        </is>
      </c>
      <c r="I52" s="4" t="inlineStr">
        <is>
          <t>no</t>
        </is>
      </c>
      <c r="J52" s="4" t="inlineStr">
        <is>
          <t>no</t>
        </is>
      </c>
      <c r="K52" s="4" t="n">
        <v>27.94056290824527</v>
      </c>
      <c r="M52" s="4" t="inlineStr">
        <is>
          <t>unknown</t>
        </is>
      </c>
      <c r="N52" s="4" t="inlineStr">
        <is>
          <t>unknown</t>
        </is>
      </c>
      <c r="O52" s="4" t="inlineStr">
        <is>
          <t>no</t>
        </is>
      </c>
      <c r="P52" s="4" t="b">
        <v>0</v>
      </c>
      <c r="Q52" s="4" t="n">
        <v>89</v>
      </c>
      <c r="R52" s="4" t="inlineStr">
        <is>
          <t>no</t>
        </is>
      </c>
      <c r="S52" s="4" t="inlineStr">
        <is>
          <t>observed_synthetic_follow_up</t>
        </is>
      </c>
      <c r="T52" s="4" t="inlineStr">
        <is>
          <t>withheld</t>
        </is>
      </c>
      <c r="U52" s="4" t="inlineStr">
        <is>
          <t>baseline_predictors_only</t>
        </is>
      </c>
      <c r="V52" s="4" t="inlineStr">
        <is>
          <t>withheld_missing_required_baseline_predictors</t>
        </is>
      </c>
      <c r="W52" s="4" t="inlineStr">
        <is>
          <t>not_defined_pending_clinical_review</t>
        </is>
      </c>
      <c r="X52" s="4" t="inlineStr">
        <is>
          <t>no</t>
        </is>
      </c>
      <c r="Y52" s="4" t="b">
        <v>0</v>
      </c>
      <c r="Z52" s="4" t="n">
        <v>181</v>
      </c>
      <c r="AA52" s="4" t="inlineStr">
        <is>
          <t>no</t>
        </is>
      </c>
      <c r="AB52" s="4" t="inlineStr">
        <is>
          <t>observed_synthetic_follow_up</t>
        </is>
      </c>
      <c r="AC52" s="4" t="inlineStr">
        <is>
          <t>withheld</t>
        </is>
      </c>
      <c r="AD52" s="4" t="inlineStr">
        <is>
          <t>baseline_predictors_only</t>
        </is>
      </c>
      <c r="AE52" s="4" t="inlineStr">
        <is>
          <t>withheld_missing_required_baseline_predictors</t>
        </is>
      </c>
      <c r="AF52" s="4" t="inlineStr">
        <is>
          <t>not_defined_pending_clinical_review</t>
        </is>
      </c>
    </row>
    <row r="53">
      <c r="A53" s="4" t="inlineStr">
        <is>
          <t>SYN-20260820-0046</t>
        </is>
      </c>
      <c r="B53" s="4" t="inlineStr">
        <is>
          <t>2026-03-01</t>
        </is>
      </c>
      <c r="C53" s="4" t="n">
        <v>30</v>
      </c>
      <c r="D53" s="4" t="inlineStr">
        <is>
          <t>female</t>
        </is>
      </c>
      <c r="E53" s="4" t="inlineStr">
        <is>
          <t>lung</t>
        </is>
      </c>
      <c r="F53" s="4" t="inlineStr">
        <is>
          <t>IV</t>
        </is>
      </c>
      <c r="G53" s="4" t="n">
        <v>156.7</v>
      </c>
      <c r="H53" s="4" t="n">
        <v>1</v>
      </c>
      <c r="I53" s="4" t="inlineStr">
        <is>
          <t>yes</t>
        </is>
      </c>
      <c r="J53" s="4" t="inlineStr">
        <is>
          <t>unknown</t>
        </is>
      </c>
      <c r="K53" s="4" t="n">
        <v>24.68184544911421</v>
      </c>
      <c r="L53" s="4" t="n">
        <v>2.59402121504339</v>
      </c>
      <c r="M53" s="4" t="inlineStr">
        <is>
          <t>unknown</t>
        </is>
      </c>
      <c r="N53" s="4" t="inlineStr">
        <is>
          <t>unknown</t>
        </is>
      </c>
      <c r="O53" s="4" t="inlineStr">
        <is>
          <t>no</t>
        </is>
      </c>
      <c r="P53" s="4" t="b">
        <v>0</v>
      </c>
      <c r="Q53" s="4" t="n">
        <v>92</v>
      </c>
      <c r="R53" s="4" t="inlineStr">
        <is>
          <t>unknown</t>
        </is>
      </c>
      <c r="S53" s="4" t="inlineStr">
        <is>
          <t>observed_synthetic_follow_up</t>
        </is>
      </c>
      <c r="T53" s="4" t="inlineStr">
        <is>
          <t>high</t>
        </is>
      </c>
      <c r="U53" s="4" t="inlineStr">
        <is>
          <t>baseline_predictors_only</t>
        </is>
      </c>
      <c r="V53" s="4" t="inlineStr">
        <is>
          <t>research_only_not_clinically_validated</t>
        </is>
      </c>
      <c r="W53" s="4" t="inlineStr">
        <is>
          <t>not_defined_pending_clinical_review</t>
        </is>
      </c>
      <c r="X53" s="4" t="inlineStr">
        <is>
          <t>unknown</t>
        </is>
      </c>
      <c r="Y53" s="4" t="b">
        <v>0</v>
      </c>
      <c r="Z53" s="4" t="n">
        <v>184</v>
      </c>
      <c r="AA53" s="4" t="inlineStr">
        <is>
          <t>unknown</t>
        </is>
      </c>
      <c r="AB53" s="4" t="inlineStr">
        <is>
          <t>observed_synthetic_follow_up</t>
        </is>
      </c>
      <c r="AC53" s="4" t="inlineStr">
        <is>
          <t>high</t>
        </is>
      </c>
      <c r="AD53" s="4" t="inlineStr">
        <is>
          <t>baseline_predictors_only</t>
        </is>
      </c>
      <c r="AE53" s="4" t="inlineStr">
        <is>
          <t>research_only_not_clinically_validated</t>
        </is>
      </c>
      <c r="AF53" s="4" t="inlineStr">
        <is>
          <t>not_defined_pending_clinical_review</t>
        </is>
      </c>
    </row>
    <row r="54">
      <c r="A54" s="4" t="inlineStr">
        <is>
          <t>SYN-20260820-0047</t>
        </is>
      </c>
      <c r="B54" s="4" t="inlineStr">
        <is>
          <t>2026-03-02</t>
        </is>
      </c>
      <c r="C54" s="4" t="n">
        <v>79</v>
      </c>
      <c r="D54" s="4" t="inlineStr">
        <is>
          <t>male</t>
        </is>
      </c>
      <c r="E54" s="4" t="inlineStr">
        <is>
          <t>oesophageal</t>
        </is>
      </c>
      <c r="F54" s="4" t="inlineStr">
        <is>
          <t>unknown</t>
        </is>
      </c>
      <c r="G54" s="4" t="n">
        <v>183.6</v>
      </c>
      <c r="H54" s="4" t="n">
        <v>4</v>
      </c>
      <c r="I54" s="4" t="inlineStr">
        <is>
          <t>yes</t>
        </is>
      </c>
      <c r="J54" s="4" t="inlineStr">
        <is>
          <t>yes</t>
        </is>
      </c>
      <c r="K54" s="4" t="n">
        <v>29.38565888713268</v>
      </c>
      <c r="L54" s="4" t="n">
        <v>3.037422057772696</v>
      </c>
      <c r="M54" s="4" t="inlineStr">
        <is>
          <t>unknown</t>
        </is>
      </c>
      <c r="N54" s="4" t="inlineStr">
        <is>
          <t>unknown</t>
        </is>
      </c>
      <c r="O54" s="4" t="inlineStr">
        <is>
          <t>unknown</t>
        </is>
      </c>
      <c r="P54" s="4" t="b">
        <v>0</v>
      </c>
      <c r="Q54" s="4" t="n">
        <v>92</v>
      </c>
      <c r="R54" s="4" t="inlineStr">
        <is>
          <t>unknown</t>
        </is>
      </c>
      <c r="S54" s="4" t="inlineStr">
        <is>
          <t>observed_synthetic_follow_up</t>
        </is>
      </c>
      <c r="T54" s="4" t="inlineStr">
        <is>
          <t>withheld</t>
        </is>
      </c>
      <c r="U54" s="4" t="inlineStr">
        <is>
          <t>baseline_predictors_only</t>
        </is>
      </c>
      <c r="V54" s="4" t="inlineStr">
        <is>
          <t>withheld_missing_required_baseline_predictors</t>
        </is>
      </c>
      <c r="W54" s="4" t="inlineStr">
        <is>
          <t>not_defined_pending_clinical_review</t>
        </is>
      </c>
      <c r="X54" s="4" t="inlineStr">
        <is>
          <t>yes</t>
        </is>
      </c>
      <c r="Y54" s="4" t="b">
        <v>0</v>
      </c>
      <c r="Z54" s="4" t="n">
        <v>184</v>
      </c>
      <c r="AA54" s="4" t="inlineStr">
        <is>
          <t>no</t>
        </is>
      </c>
      <c r="AB54" s="4" t="inlineStr">
        <is>
          <t>observed_synthetic_follow_up</t>
        </is>
      </c>
      <c r="AC54" s="4" t="inlineStr">
        <is>
          <t>withheld</t>
        </is>
      </c>
      <c r="AD54" s="4" t="inlineStr">
        <is>
          <t>baseline_predictors_only</t>
        </is>
      </c>
      <c r="AE54" s="4" t="inlineStr">
        <is>
          <t>withheld_missing_required_baseline_predictors</t>
        </is>
      </c>
      <c r="AF54" s="4" t="inlineStr">
        <is>
          <t>not_defined_pending_clinical_review</t>
        </is>
      </c>
    </row>
    <row r="55">
      <c r="A55" s="4" t="inlineStr">
        <is>
          <t>SYN-20260820-0048</t>
        </is>
      </c>
      <c r="B55" s="4" t="inlineStr">
        <is>
          <t>2026-03-03</t>
        </is>
      </c>
      <c r="C55" s="4" t="n">
        <v>67</v>
      </c>
      <c r="D55" s="4" t="inlineStr">
        <is>
          <t>male</t>
        </is>
      </c>
      <c r="E55" s="4" t="inlineStr">
        <is>
          <t>hepatobiliary</t>
        </is>
      </c>
      <c r="F55" s="4" t="inlineStr">
        <is>
          <t>IV</t>
        </is>
      </c>
      <c r="G55" s="4" t="n">
        <v>177.3</v>
      </c>
      <c r="H55" s="4" t="n">
        <v>1</v>
      </c>
      <c r="I55" s="4" t="inlineStr">
        <is>
          <t>yes</t>
        </is>
      </c>
      <c r="J55" s="4" t="inlineStr">
        <is>
          <t>no</t>
        </is>
      </c>
      <c r="K55" s="4" t="n">
        <v>34.72498583598242</v>
      </c>
      <c r="L55" s="4" t="n">
        <v>3.6608506094063</v>
      </c>
      <c r="M55" s="4" t="inlineStr">
        <is>
          <t>unknown</t>
        </is>
      </c>
      <c r="N55" s="4" t="inlineStr">
        <is>
          <t>unknown</t>
        </is>
      </c>
      <c r="O55" s="4" t="inlineStr">
        <is>
          <t>yes</t>
        </is>
      </c>
      <c r="P55" s="4" t="b">
        <v>0</v>
      </c>
      <c r="Q55" s="4" t="n">
        <v>92</v>
      </c>
      <c r="R55" s="4" t="inlineStr">
        <is>
          <t>no</t>
        </is>
      </c>
      <c r="S55" s="4" t="inlineStr">
        <is>
          <t>observed_synthetic_follow_up</t>
        </is>
      </c>
      <c r="T55" s="4" t="inlineStr">
        <is>
          <t>high</t>
        </is>
      </c>
      <c r="U55" s="4" t="inlineStr">
        <is>
          <t>baseline_predictors_only</t>
        </is>
      </c>
      <c r="V55" s="4" t="inlineStr">
        <is>
          <t>research_only_not_clinically_validated</t>
        </is>
      </c>
      <c r="W55" s="4" t="inlineStr">
        <is>
          <t>not_defined_pending_clinical_review</t>
        </is>
      </c>
      <c r="X55" s="4" t="inlineStr">
        <is>
          <t>yes</t>
        </is>
      </c>
      <c r="Y55" s="4" t="b">
        <v>0</v>
      </c>
      <c r="Z55" s="4" t="n">
        <v>184</v>
      </c>
      <c r="AA55" s="4" t="inlineStr">
        <is>
          <t>no</t>
        </is>
      </c>
      <c r="AB55" s="4" t="inlineStr">
        <is>
          <t>observed_synthetic_follow_up</t>
        </is>
      </c>
      <c r="AC55" s="4" t="inlineStr">
        <is>
          <t>high</t>
        </is>
      </c>
      <c r="AD55" s="4" t="inlineStr">
        <is>
          <t>baseline_predictors_only</t>
        </is>
      </c>
      <c r="AE55" s="4" t="inlineStr">
        <is>
          <t>research_only_not_clinically_validated</t>
        </is>
      </c>
      <c r="AF55" s="4" t="inlineStr">
        <is>
          <t>not_defined_pending_clinical_review</t>
        </is>
      </c>
    </row>
    <row r="56">
      <c r="A56" s="4" t="inlineStr">
        <is>
          <t>SYN-20260820-0049</t>
        </is>
      </c>
      <c r="B56" s="4" t="inlineStr">
        <is>
          <t>2026-03-04</t>
        </is>
      </c>
      <c r="C56" s="4" t="n">
        <v>56</v>
      </c>
      <c r="D56" s="4" t="inlineStr">
        <is>
          <t>female</t>
        </is>
      </c>
      <c r="E56" s="4" t="inlineStr">
        <is>
          <t>breast</t>
        </is>
      </c>
      <c r="F56" s="4" t="inlineStr">
        <is>
          <t>IV</t>
        </is>
      </c>
      <c r="G56" s="4" t="n">
        <v>165.8</v>
      </c>
      <c r="H56" s="4" t="inlineStr">
        <is>
          <t>unknown</t>
        </is>
      </c>
      <c r="I56" s="4" t="inlineStr">
        <is>
          <t>yes</t>
        </is>
      </c>
      <c r="J56" s="4" t="inlineStr">
        <is>
          <t>no</t>
        </is>
      </c>
      <c r="K56" s="4" t="n">
        <v>25.62383501566408</v>
      </c>
      <c r="L56" s="4" t="n">
        <v>1.695648533229134</v>
      </c>
      <c r="M56" s="4" t="inlineStr">
        <is>
          <t>no</t>
        </is>
      </c>
      <c r="N56" s="4" t="inlineStr">
        <is>
          <t>yes</t>
        </is>
      </c>
      <c r="O56" s="4" t="inlineStr">
        <is>
          <t>no</t>
        </is>
      </c>
      <c r="P56" s="4" t="b">
        <v>0</v>
      </c>
      <c r="Q56" s="4" t="n">
        <v>92</v>
      </c>
      <c r="R56" s="4" t="inlineStr">
        <is>
          <t>no</t>
        </is>
      </c>
      <c r="S56" s="4" t="inlineStr">
        <is>
          <t>observed_synthetic_follow_up</t>
        </is>
      </c>
      <c r="T56" s="4" t="inlineStr">
        <is>
          <t>withheld</t>
        </is>
      </c>
      <c r="U56" s="4" t="inlineStr">
        <is>
          <t>baseline_predictors_only</t>
        </is>
      </c>
      <c r="V56" s="4" t="inlineStr">
        <is>
          <t>withheld_missing_required_baseline_predictors</t>
        </is>
      </c>
      <c r="W56" s="4" t="inlineStr">
        <is>
          <t>not_defined_pending_clinical_review</t>
        </is>
      </c>
      <c r="X56" s="4" t="inlineStr">
        <is>
          <t>unknown</t>
        </is>
      </c>
      <c r="Y56" s="4" t="b">
        <v>0</v>
      </c>
      <c r="Z56" s="4" t="n">
        <v>184</v>
      </c>
      <c r="AA56" s="4" t="inlineStr">
        <is>
          <t>unknown</t>
        </is>
      </c>
      <c r="AB56" s="4" t="inlineStr">
        <is>
          <t>observed_synthetic_follow_up</t>
        </is>
      </c>
      <c r="AC56" s="4" t="inlineStr">
        <is>
          <t>withheld</t>
        </is>
      </c>
      <c r="AD56" s="4" t="inlineStr">
        <is>
          <t>baseline_predictors_only</t>
        </is>
      </c>
      <c r="AE56" s="4" t="inlineStr">
        <is>
          <t>withheld_missing_required_baseline_predictors</t>
        </is>
      </c>
      <c r="AF56" s="4" t="inlineStr">
        <is>
          <t>not_defined_pending_clinical_review</t>
        </is>
      </c>
    </row>
    <row r="57">
      <c r="A57" s="4" t="inlineStr">
        <is>
          <t>SYN-20260820-0050</t>
        </is>
      </c>
      <c r="B57" s="4" t="inlineStr">
        <is>
          <t>2026-03-05</t>
        </is>
      </c>
      <c r="C57" s="4" t="n">
        <v>63</v>
      </c>
      <c r="D57" s="4" t="inlineStr">
        <is>
          <t>male</t>
        </is>
      </c>
      <c r="E57" s="4" t="inlineStr">
        <is>
          <t>lung</t>
        </is>
      </c>
      <c r="F57" s="4" t="inlineStr">
        <is>
          <t>II</t>
        </is>
      </c>
      <c r="G57" s="4" t="n">
        <v>178.8</v>
      </c>
      <c r="H57" s="4" t="n">
        <v>0</v>
      </c>
      <c r="I57" s="4" t="inlineStr">
        <is>
          <t>yes</t>
        </is>
      </c>
      <c r="J57" s="4" t="inlineStr">
        <is>
          <t>no</t>
        </is>
      </c>
      <c r="K57" s="4" t="n">
        <v>24.88814317673378</v>
      </c>
      <c r="L57" s="4" t="n">
        <v>0.1806548739179416</v>
      </c>
      <c r="M57" s="4" t="inlineStr">
        <is>
          <t>no</t>
        </is>
      </c>
      <c r="N57" s="4" t="inlineStr">
        <is>
          <t>no</t>
        </is>
      </c>
      <c r="O57" s="4" t="inlineStr">
        <is>
          <t>no</t>
        </is>
      </c>
      <c r="P57" s="4" t="b">
        <v>0</v>
      </c>
      <c r="Q57" s="4" t="n">
        <v>92</v>
      </c>
      <c r="R57" s="4" t="inlineStr">
        <is>
          <t>no</t>
        </is>
      </c>
      <c r="S57" s="4" t="inlineStr">
        <is>
          <t>observed_synthetic_follow_up</t>
        </is>
      </c>
      <c r="T57" s="4" t="inlineStr">
        <is>
          <t>moderate</t>
        </is>
      </c>
      <c r="U57" s="4" t="inlineStr">
        <is>
          <t>baseline_predictors_only</t>
        </is>
      </c>
      <c r="V57" s="4" t="inlineStr">
        <is>
          <t>research_only_not_clinically_validated</t>
        </is>
      </c>
      <c r="W57" s="4" t="inlineStr">
        <is>
          <t>not_defined_pending_clinical_review</t>
        </is>
      </c>
      <c r="X57" s="4" t="inlineStr">
        <is>
          <t>no</t>
        </is>
      </c>
      <c r="Y57" s="4" t="b">
        <v>0</v>
      </c>
      <c r="Z57" s="4" t="n">
        <v>184</v>
      </c>
      <c r="AA57" s="4" t="inlineStr">
        <is>
          <t>no</t>
        </is>
      </c>
      <c r="AB57" s="4" t="inlineStr">
        <is>
          <t>observed_synthetic_follow_up</t>
        </is>
      </c>
      <c r="AC57" s="4" t="inlineStr">
        <is>
          <t>moderate</t>
        </is>
      </c>
      <c r="AD57" s="4" t="inlineStr">
        <is>
          <t>baseline_predictors_only</t>
        </is>
      </c>
      <c r="AE57" s="4" t="inlineStr">
        <is>
          <t>research_only_not_clinically_validated</t>
        </is>
      </c>
      <c r="AF57" s="4" t="inlineStr">
        <is>
          <t>not_defined_pending_clinical_review</t>
        </is>
      </c>
    </row>
    <row r="58">
      <c r="A58" s="4" t="inlineStr">
        <is>
          <t>SYN-20260820-0051</t>
        </is>
      </c>
      <c r="B58" s="4" t="inlineStr">
        <is>
          <t>2026-03-06</t>
        </is>
      </c>
      <c r="C58" s="4" t="n">
        <v>44</v>
      </c>
      <c r="D58" s="4" t="inlineStr">
        <is>
          <t>female</t>
        </is>
      </c>
      <c r="E58" s="4" t="inlineStr">
        <is>
          <t>other solid tumour</t>
        </is>
      </c>
      <c r="F58" s="4" t="inlineStr">
        <is>
          <t>III</t>
        </is>
      </c>
      <c r="G58" s="4" t="n">
        <v>168.4</v>
      </c>
      <c r="H58" s="4" t="n">
        <v>3</v>
      </c>
      <c r="I58" s="4" t="inlineStr">
        <is>
          <t>yes</t>
        </is>
      </c>
      <c r="J58" s="4" t="inlineStr">
        <is>
          <t>unknown</t>
        </is>
      </c>
      <c r="K58" s="4" t="n">
        <v>24.74244108304511</v>
      </c>
      <c r="L58" s="4" t="n">
        <v>2.266237655481746</v>
      </c>
      <c r="M58" s="4" t="inlineStr">
        <is>
          <t>unknown</t>
        </is>
      </c>
      <c r="N58" s="4" t="inlineStr">
        <is>
          <t>unknown</t>
        </is>
      </c>
      <c r="O58" s="4" t="inlineStr">
        <is>
          <t>unknown</t>
        </is>
      </c>
      <c r="P58" s="4" t="b">
        <v>0</v>
      </c>
      <c r="Q58" s="4" t="n">
        <v>92</v>
      </c>
      <c r="R58" s="4" t="inlineStr">
        <is>
          <t>unknown</t>
        </is>
      </c>
      <c r="S58" s="4" t="inlineStr">
        <is>
          <t>observed_synthetic_follow_up</t>
        </is>
      </c>
      <c r="T58" s="4" t="inlineStr">
        <is>
          <t>moderate</t>
        </is>
      </c>
      <c r="U58" s="4" t="inlineStr">
        <is>
          <t>baseline_predictors_only</t>
        </is>
      </c>
      <c r="V58" s="4" t="inlineStr">
        <is>
          <t>research_only_not_clinically_validated</t>
        </is>
      </c>
      <c r="W58" s="4" t="inlineStr">
        <is>
          <t>not_defined_pending_clinical_review</t>
        </is>
      </c>
      <c r="X58" s="4" t="inlineStr">
        <is>
          <t>yes</t>
        </is>
      </c>
      <c r="Y58" s="4" t="b">
        <v>0</v>
      </c>
      <c r="Z58" s="4" t="n">
        <v>184</v>
      </c>
      <c r="AA58" s="4" t="inlineStr">
        <is>
          <t>no</t>
        </is>
      </c>
      <c r="AB58" s="4" t="inlineStr">
        <is>
          <t>observed_synthetic_follow_up</t>
        </is>
      </c>
      <c r="AC58" s="4" t="inlineStr">
        <is>
          <t>high</t>
        </is>
      </c>
      <c r="AD58" s="4" t="inlineStr">
        <is>
          <t>baseline_predictors_only</t>
        </is>
      </c>
      <c r="AE58" s="4" t="inlineStr">
        <is>
          <t>research_only_not_clinically_validated</t>
        </is>
      </c>
      <c r="AF58" s="4" t="inlineStr">
        <is>
          <t>not_defined_pending_clinical_review</t>
        </is>
      </c>
    </row>
    <row r="59">
      <c r="A59" s="4" t="inlineStr">
        <is>
          <t>SYN-20260820-0052</t>
        </is>
      </c>
      <c r="B59" s="4" t="inlineStr">
        <is>
          <t>2026-03-07</t>
        </is>
      </c>
      <c r="C59" s="4" t="n">
        <v>82</v>
      </c>
      <c r="D59" s="4" t="inlineStr">
        <is>
          <t>female</t>
        </is>
      </c>
      <c r="E59" s="4" t="inlineStr">
        <is>
          <t>oesophageal</t>
        </is>
      </c>
      <c r="F59" s="4" t="inlineStr">
        <is>
          <t>IV</t>
        </is>
      </c>
      <c r="G59" s="4" t="n">
        <v>166.1</v>
      </c>
      <c r="H59" s="4" t="n">
        <v>0</v>
      </c>
      <c r="I59" s="4" t="inlineStr">
        <is>
          <t>yes</t>
        </is>
      </c>
      <c r="J59" s="4" t="inlineStr">
        <is>
          <t>yes</t>
        </is>
      </c>
      <c r="K59" s="4" t="n">
        <v>24.96845687136384</v>
      </c>
      <c r="M59" s="4" t="inlineStr">
        <is>
          <t>unknown</t>
        </is>
      </c>
      <c r="N59" s="4" t="inlineStr">
        <is>
          <t>unknown</t>
        </is>
      </c>
      <c r="O59" s="4" t="inlineStr">
        <is>
          <t>unknown</t>
        </is>
      </c>
      <c r="P59" s="4" t="b">
        <v>0</v>
      </c>
      <c r="Q59" s="4" t="n">
        <v>92</v>
      </c>
      <c r="R59" s="4" t="inlineStr">
        <is>
          <t>unknown</t>
        </is>
      </c>
      <c r="S59" s="4" t="inlineStr">
        <is>
          <t>observed_synthetic_follow_up</t>
        </is>
      </c>
      <c r="T59" s="4" t="inlineStr">
        <is>
          <t>withheld</t>
        </is>
      </c>
      <c r="U59" s="4" t="inlineStr">
        <is>
          <t>baseline_predictors_only</t>
        </is>
      </c>
      <c r="V59" s="4" t="inlineStr">
        <is>
          <t>withheld_missing_required_baseline_predictors</t>
        </is>
      </c>
      <c r="W59" s="4" t="inlineStr">
        <is>
          <t>not_defined_pending_clinical_review</t>
        </is>
      </c>
      <c r="X59" s="4" t="inlineStr">
        <is>
          <t>unknown</t>
        </is>
      </c>
      <c r="Y59" s="4" t="b">
        <v>0</v>
      </c>
      <c r="Z59" s="4" t="n">
        <v>184</v>
      </c>
      <c r="AA59" s="4" t="inlineStr">
        <is>
          <t>unknown</t>
        </is>
      </c>
      <c r="AB59" s="4" t="inlineStr">
        <is>
          <t>observed_synthetic_follow_up</t>
        </is>
      </c>
      <c r="AC59" s="4" t="inlineStr">
        <is>
          <t>withheld</t>
        </is>
      </c>
      <c r="AD59" s="4" t="inlineStr">
        <is>
          <t>baseline_predictors_only</t>
        </is>
      </c>
      <c r="AE59" s="4" t="inlineStr">
        <is>
          <t>withheld_missing_required_baseline_predictors</t>
        </is>
      </c>
      <c r="AF59" s="4" t="inlineStr">
        <is>
          <t>not_defined_pending_clinical_review</t>
        </is>
      </c>
    </row>
    <row r="60">
      <c r="A60" s="4" t="inlineStr">
        <is>
          <t>SYN-20260820-0053</t>
        </is>
      </c>
      <c r="B60" s="4" t="inlineStr">
        <is>
          <t>2026-03-08</t>
        </is>
      </c>
      <c r="C60" s="4" t="n">
        <v>33</v>
      </c>
      <c r="D60" s="4" t="inlineStr">
        <is>
          <t>male</t>
        </is>
      </c>
      <c r="E60" s="4" t="inlineStr">
        <is>
          <t>colorectal</t>
        </is>
      </c>
      <c r="F60" s="4" t="inlineStr">
        <is>
          <t>IV</t>
        </is>
      </c>
      <c r="G60" s="4" t="n">
        <v>177.5</v>
      </c>
      <c r="H60" s="4" t="n">
        <v>1</v>
      </c>
      <c r="I60" s="4" t="inlineStr">
        <is>
          <t>no</t>
        </is>
      </c>
      <c r="J60" s="4" t="inlineStr">
        <is>
          <t>unknown</t>
        </is>
      </c>
      <c r="K60" s="4" t="n">
        <v>26.25034715334259</v>
      </c>
      <c r="L60" s="4" t="n">
        <v>2.319621112803977</v>
      </c>
      <c r="M60" s="4" t="inlineStr">
        <is>
          <t>unknown</t>
        </is>
      </c>
      <c r="N60" s="4" t="inlineStr">
        <is>
          <t>unknown</t>
        </is>
      </c>
      <c r="O60" s="4" t="inlineStr">
        <is>
          <t>unknown</t>
        </is>
      </c>
      <c r="P60" s="4" t="b">
        <v>0</v>
      </c>
      <c r="Q60" s="4" t="n">
        <v>92</v>
      </c>
      <c r="R60" s="4" t="inlineStr">
        <is>
          <t>unknown</t>
        </is>
      </c>
      <c r="S60" s="4" t="inlineStr">
        <is>
          <t>observed_synthetic_follow_up</t>
        </is>
      </c>
      <c r="T60" s="4" t="inlineStr">
        <is>
          <t>moderate</t>
        </is>
      </c>
      <c r="U60" s="4" t="inlineStr">
        <is>
          <t>baseline_predictors_only</t>
        </is>
      </c>
      <c r="V60" s="4" t="inlineStr">
        <is>
          <t>research_only_not_clinically_validated</t>
        </is>
      </c>
      <c r="W60" s="4" t="inlineStr">
        <is>
          <t>not_defined_pending_clinical_review</t>
        </is>
      </c>
      <c r="X60" s="4" t="inlineStr">
        <is>
          <t>yes</t>
        </is>
      </c>
      <c r="Y60" s="4" t="b">
        <v>0</v>
      </c>
      <c r="Z60" s="4" t="n">
        <v>184</v>
      </c>
      <c r="AA60" s="4" t="inlineStr">
        <is>
          <t>no</t>
        </is>
      </c>
      <c r="AB60" s="4" t="inlineStr">
        <is>
          <t>observed_synthetic_follow_up</t>
        </is>
      </c>
      <c r="AC60" s="4" t="inlineStr">
        <is>
          <t>moderate</t>
        </is>
      </c>
      <c r="AD60" s="4" t="inlineStr">
        <is>
          <t>baseline_predictors_only</t>
        </is>
      </c>
      <c r="AE60" s="4" t="inlineStr">
        <is>
          <t>research_only_not_clinically_validated</t>
        </is>
      </c>
      <c r="AF60" s="4" t="inlineStr">
        <is>
          <t>not_defined_pending_clinical_review</t>
        </is>
      </c>
    </row>
    <row r="61">
      <c r="A61" s="4" t="inlineStr">
        <is>
          <t>SYN-20260820-0054</t>
        </is>
      </c>
      <c r="B61" s="4" t="inlineStr">
        <is>
          <t>2026-03-09</t>
        </is>
      </c>
      <c r="C61" s="4" t="n">
        <v>73</v>
      </c>
      <c r="D61" s="4" t="inlineStr">
        <is>
          <t>female</t>
        </is>
      </c>
      <c r="E61" s="4" t="inlineStr">
        <is>
          <t>gastric</t>
        </is>
      </c>
      <c r="F61" s="4" t="inlineStr">
        <is>
          <t>II</t>
        </is>
      </c>
      <c r="G61" s="4" t="n">
        <v>171.6</v>
      </c>
      <c r="H61" s="4" t="n">
        <v>1</v>
      </c>
      <c r="I61" s="4" t="inlineStr">
        <is>
          <t>no</t>
        </is>
      </c>
      <c r="J61" s="4" t="inlineStr">
        <is>
          <t>no</t>
        </is>
      </c>
      <c r="K61" s="4" t="n">
        <v>30.00588184154618</v>
      </c>
      <c r="L61" s="4" t="n">
        <v>1.267166530712586</v>
      </c>
      <c r="M61" s="4" t="inlineStr">
        <is>
          <t>no</t>
        </is>
      </c>
      <c r="N61" s="4" t="inlineStr">
        <is>
          <t>no</t>
        </is>
      </c>
      <c r="O61" s="4" t="inlineStr">
        <is>
          <t>no</t>
        </is>
      </c>
      <c r="P61" s="4" t="b">
        <v>0</v>
      </c>
      <c r="Q61" s="4" t="n">
        <v>92</v>
      </c>
      <c r="R61" s="4" t="inlineStr">
        <is>
          <t>no</t>
        </is>
      </c>
      <c r="S61" s="4" t="inlineStr">
        <is>
          <t>observed_synthetic_follow_up</t>
        </is>
      </c>
      <c r="T61" s="4" t="inlineStr">
        <is>
          <t>moderate</t>
        </is>
      </c>
      <c r="U61" s="4" t="inlineStr">
        <is>
          <t>baseline_predictors_only</t>
        </is>
      </c>
      <c r="V61" s="4" t="inlineStr">
        <is>
          <t>research_only_not_clinically_validated</t>
        </is>
      </c>
      <c r="W61" s="4" t="inlineStr">
        <is>
          <t>not_defined_pending_clinical_review</t>
        </is>
      </c>
      <c r="X61" s="4" t="inlineStr">
        <is>
          <t>unknown</t>
        </is>
      </c>
      <c r="Y61" s="4" t="b">
        <v>0</v>
      </c>
      <c r="Z61" s="4" t="n">
        <v>184</v>
      </c>
      <c r="AA61" s="4" t="inlineStr">
        <is>
          <t>unknown</t>
        </is>
      </c>
      <c r="AB61" s="4" t="inlineStr">
        <is>
          <t>observed_synthetic_follow_up</t>
        </is>
      </c>
      <c r="AC61" s="4" t="inlineStr">
        <is>
          <t>moderate</t>
        </is>
      </c>
      <c r="AD61" s="4" t="inlineStr">
        <is>
          <t>baseline_predictors_only</t>
        </is>
      </c>
      <c r="AE61" s="4" t="inlineStr">
        <is>
          <t>research_only_not_clinically_validated</t>
        </is>
      </c>
      <c r="AF61" s="4" t="inlineStr">
        <is>
          <t>not_defined_pending_clinical_review</t>
        </is>
      </c>
    </row>
    <row r="62">
      <c r="A62" s="4" t="inlineStr">
        <is>
          <t>SYN-20260820-0055</t>
        </is>
      </c>
      <c r="B62" s="4" t="inlineStr">
        <is>
          <t>2026-03-10</t>
        </is>
      </c>
      <c r="C62" s="4" t="n">
        <v>56</v>
      </c>
      <c r="D62" s="4" t="inlineStr">
        <is>
          <t>female</t>
        </is>
      </c>
      <c r="E62" s="4" t="inlineStr">
        <is>
          <t>head and neck</t>
        </is>
      </c>
      <c r="F62" s="4" t="inlineStr">
        <is>
          <t>IV</t>
        </is>
      </c>
      <c r="G62" s="4" t="n">
        <v>158.6</v>
      </c>
      <c r="H62" s="4" t="n">
        <v>0</v>
      </c>
      <c r="I62" s="4" t="inlineStr">
        <is>
          <t>no</t>
        </is>
      </c>
      <c r="J62" s="4" t="inlineStr">
        <is>
          <t>no</t>
        </is>
      </c>
      <c r="K62" s="4" t="n">
        <v>19.50309215725874</v>
      </c>
      <c r="L62" s="4" t="n">
        <v>2.038778729607222</v>
      </c>
      <c r="M62" s="4" t="inlineStr">
        <is>
          <t>yes</t>
        </is>
      </c>
      <c r="N62" s="4" t="inlineStr">
        <is>
          <t>no</t>
        </is>
      </c>
      <c r="O62" s="4" t="inlineStr">
        <is>
          <t>yes</t>
        </is>
      </c>
      <c r="P62" s="4" t="b">
        <v>0</v>
      </c>
      <c r="Q62" s="4" t="n">
        <v>92</v>
      </c>
      <c r="R62" s="4" t="inlineStr">
        <is>
          <t>no</t>
        </is>
      </c>
      <c r="S62" s="4" t="inlineStr">
        <is>
          <t>observed_synthetic_follow_up</t>
        </is>
      </c>
      <c r="T62" s="4" t="inlineStr">
        <is>
          <t>moderate</t>
        </is>
      </c>
      <c r="U62" s="4" t="inlineStr">
        <is>
          <t>baseline_predictors_only</t>
        </is>
      </c>
      <c r="V62" s="4" t="inlineStr">
        <is>
          <t>research_only_not_clinically_validated</t>
        </is>
      </c>
      <c r="W62" s="4" t="inlineStr">
        <is>
          <t>not_defined_pending_clinical_review</t>
        </is>
      </c>
      <c r="X62" s="4" t="inlineStr">
        <is>
          <t>yes</t>
        </is>
      </c>
      <c r="Y62" s="4" t="b">
        <v>0</v>
      </c>
      <c r="Z62" s="4" t="n">
        <v>184</v>
      </c>
      <c r="AA62" s="4" t="inlineStr">
        <is>
          <t>no</t>
        </is>
      </c>
      <c r="AB62" s="4" t="inlineStr">
        <is>
          <t>observed_synthetic_follow_up</t>
        </is>
      </c>
      <c r="AC62" s="4" t="inlineStr">
        <is>
          <t>high</t>
        </is>
      </c>
      <c r="AD62" s="4" t="inlineStr">
        <is>
          <t>baseline_predictors_only</t>
        </is>
      </c>
      <c r="AE62" s="4" t="inlineStr">
        <is>
          <t>research_only_not_clinically_validated</t>
        </is>
      </c>
      <c r="AF62" s="4" t="inlineStr">
        <is>
          <t>not_defined_pending_clinical_review</t>
        </is>
      </c>
    </row>
    <row r="63">
      <c r="A63" s="4" t="inlineStr">
        <is>
          <t>SYN-20260820-0056</t>
        </is>
      </c>
      <c r="B63" s="4" t="inlineStr">
        <is>
          <t>2026-03-11</t>
        </is>
      </c>
      <c r="C63" s="4" t="n">
        <v>41</v>
      </c>
      <c r="D63" s="4" t="inlineStr">
        <is>
          <t>female</t>
        </is>
      </c>
      <c r="E63" s="4" t="inlineStr">
        <is>
          <t>other solid tumour</t>
        </is>
      </c>
      <c r="F63" s="4" t="inlineStr">
        <is>
          <t>I</t>
        </is>
      </c>
      <c r="G63" s="4" t="n">
        <v>174.3</v>
      </c>
      <c r="H63" s="4" t="n">
        <v>0</v>
      </c>
      <c r="I63" s="4" t="inlineStr">
        <is>
          <t>no</t>
        </is>
      </c>
      <c r="J63" s="4" t="inlineStr">
        <is>
          <t>yes</t>
        </is>
      </c>
      <c r="K63" s="4" t="n">
        <v>22.72642738810335</v>
      </c>
      <c r="L63" s="4" t="n">
        <v>-1.953603756589526</v>
      </c>
      <c r="M63" s="4" t="inlineStr">
        <is>
          <t>no</t>
        </is>
      </c>
      <c r="N63" s="4" t="inlineStr">
        <is>
          <t>no</t>
        </is>
      </c>
      <c r="O63" s="4" t="inlineStr">
        <is>
          <t>no</t>
        </is>
      </c>
      <c r="P63" s="4" t="b">
        <v>0</v>
      </c>
      <c r="Q63" s="4" t="n">
        <v>92</v>
      </c>
      <c r="R63" s="4" t="inlineStr">
        <is>
          <t>no</t>
        </is>
      </c>
      <c r="S63" s="4" t="inlineStr">
        <is>
          <t>observed_synthetic_follow_up</t>
        </is>
      </c>
      <c r="T63" s="4" t="inlineStr">
        <is>
          <t>low</t>
        </is>
      </c>
      <c r="U63" s="4" t="inlineStr">
        <is>
          <t>baseline_predictors_only</t>
        </is>
      </c>
      <c r="V63" s="4" t="inlineStr">
        <is>
          <t>research_only_not_clinically_validated</t>
        </is>
      </c>
      <c r="W63" s="4" t="inlineStr">
        <is>
          <t>not_defined_pending_clinical_review</t>
        </is>
      </c>
      <c r="X63" s="4" t="inlineStr">
        <is>
          <t>no</t>
        </is>
      </c>
      <c r="Y63" s="4" t="b">
        <v>0</v>
      </c>
      <c r="Z63" s="4" t="n">
        <v>184</v>
      </c>
      <c r="AA63" s="4" t="inlineStr">
        <is>
          <t>no</t>
        </is>
      </c>
      <c r="AB63" s="4" t="inlineStr">
        <is>
          <t>observed_synthetic_follow_up</t>
        </is>
      </c>
      <c r="AC63" s="4" t="inlineStr">
        <is>
          <t>low</t>
        </is>
      </c>
      <c r="AD63" s="4" t="inlineStr">
        <is>
          <t>baseline_predictors_only</t>
        </is>
      </c>
      <c r="AE63" s="4" t="inlineStr">
        <is>
          <t>research_only_not_clinically_validated</t>
        </is>
      </c>
      <c r="AF63" s="4" t="inlineStr">
        <is>
          <t>not_defined_pending_clinical_review</t>
        </is>
      </c>
    </row>
    <row r="64">
      <c r="A64" s="4" t="inlineStr">
        <is>
          <t>SYN-20260820-0057</t>
        </is>
      </c>
      <c r="B64" s="4" t="inlineStr">
        <is>
          <t>2026-03-12</t>
        </is>
      </c>
      <c r="C64" s="4" t="n">
        <v>64</v>
      </c>
      <c r="D64" s="4" t="inlineStr">
        <is>
          <t>female</t>
        </is>
      </c>
      <c r="E64" s="4" t="inlineStr">
        <is>
          <t>hepatobiliary</t>
        </is>
      </c>
      <c r="F64" s="4" t="inlineStr">
        <is>
          <t>IV</t>
        </is>
      </c>
      <c r="G64" s="4" t="n">
        <v>170.8</v>
      </c>
      <c r="H64" s="4" t="n">
        <v>1</v>
      </c>
      <c r="I64" s="4" t="inlineStr">
        <is>
          <t>yes</t>
        </is>
      </c>
      <c r="J64" s="4" t="inlineStr">
        <is>
          <t>unknown</t>
        </is>
      </c>
      <c r="K64" s="4" t="n">
        <v>36.12563004239588</v>
      </c>
      <c r="L64" s="4" t="n">
        <v>3.925465385527009</v>
      </c>
      <c r="M64" s="4" t="inlineStr">
        <is>
          <t>unknown</t>
        </is>
      </c>
      <c r="N64" s="4" t="inlineStr">
        <is>
          <t>unknown</t>
        </is>
      </c>
      <c r="O64" s="4" t="inlineStr">
        <is>
          <t>yes</t>
        </is>
      </c>
      <c r="P64" s="4" t="b">
        <v>0</v>
      </c>
      <c r="Q64" s="4" t="n">
        <v>92</v>
      </c>
      <c r="R64" s="4" t="inlineStr">
        <is>
          <t>no</t>
        </is>
      </c>
      <c r="S64" s="4" t="inlineStr">
        <is>
          <t>observed_synthetic_follow_up</t>
        </is>
      </c>
      <c r="T64" s="4" t="inlineStr">
        <is>
          <t>high</t>
        </is>
      </c>
      <c r="U64" s="4" t="inlineStr">
        <is>
          <t>baseline_predictors_only</t>
        </is>
      </c>
      <c r="V64" s="4" t="inlineStr">
        <is>
          <t>research_only_not_clinically_validated</t>
        </is>
      </c>
      <c r="W64" s="4" t="inlineStr">
        <is>
          <t>not_defined_pending_clinical_review</t>
        </is>
      </c>
      <c r="X64" s="4" t="inlineStr">
        <is>
          <t>yes</t>
        </is>
      </c>
      <c r="Y64" s="4" t="b">
        <v>0</v>
      </c>
      <c r="Z64" s="4" t="n">
        <v>184</v>
      </c>
      <c r="AA64" s="4" t="inlineStr">
        <is>
          <t>no</t>
        </is>
      </c>
      <c r="AB64" s="4" t="inlineStr">
        <is>
          <t>observed_synthetic_follow_up</t>
        </is>
      </c>
      <c r="AC64" s="4" t="inlineStr">
        <is>
          <t>high</t>
        </is>
      </c>
      <c r="AD64" s="4" t="inlineStr">
        <is>
          <t>baseline_predictors_only</t>
        </is>
      </c>
      <c r="AE64" s="4" t="inlineStr">
        <is>
          <t>research_only_not_clinically_validated</t>
        </is>
      </c>
      <c r="AF64" s="4" t="inlineStr">
        <is>
          <t>not_defined_pending_clinical_review</t>
        </is>
      </c>
    </row>
    <row r="65">
      <c r="A65" s="4" t="inlineStr">
        <is>
          <t>SYN-20260820-0058</t>
        </is>
      </c>
      <c r="B65" s="4" t="inlineStr">
        <is>
          <t>2026-03-13</t>
        </is>
      </c>
      <c r="C65" s="4" t="n">
        <v>81</v>
      </c>
      <c r="D65" s="4" t="inlineStr">
        <is>
          <t>female</t>
        </is>
      </c>
      <c r="E65" s="4" t="inlineStr">
        <is>
          <t>other solid tumour</t>
        </is>
      </c>
      <c r="F65" s="4" t="inlineStr">
        <is>
          <t>III</t>
        </is>
      </c>
      <c r="G65" s="4" t="n">
        <v>154.7</v>
      </c>
      <c r="H65" s="4" t="n">
        <v>2</v>
      </c>
      <c r="I65" s="4" t="inlineStr">
        <is>
          <t>no</t>
        </is>
      </c>
      <c r="J65" s="4" t="inlineStr">
        <is>
          <t>unknown</t>
        </is>
      </c>
      <c r="K65" s="4" t="n">
        <v>33.63308428139791</v>
      </c>
      <c r="L65" s="4" t="n">
        <v>2.13384237531308</v>
      </c>
      <c r="M65" s="4" t="inlineStr">
        <is>
          <t>unknown</t>
        </is>
      </c>
      <c r="N65" s="4" t="inlineStr">
        <is>
          <t>unknown</t>
        </is>
      </c>
      <c r="O65" s="4" t="inlineStr">
        <is>
          <t>unknown</t>
        </is>
      </c>
      <c r="P65" s="4" t="b">
        <v>0</v>
      </c>
      <c r="Q65" s="4" t="n">
        <v>92</v>
      </c>
      <c r="R65" s="4" t="inlineStr">
        <is>
          <t>unknown</t>
        </is>
      </c>
      <c r="S65" s="4" t="inlineStr">
        <is>
          <t>observed_synthetic_follow_up</t>
        </is>
      </c>
      <c r="T65" s="4" t="inlineStr">
        <is>
          <t>moderate</t>
        </is>
      </c>
      <c r="U65" s="4" t="inlineStr">
        <is>
          <t>baseline_predictors_only</t>
        </is>
      </c>
      <c r="V65" s="4" t="inlineStr">
        <is>
          <t>research_only_not_clinically_validated</t>
        </is>
      </c>
      <c r="W65" s="4" t="inlineStr">
        <is>
          <t>not_defined_pending_clinical_review</t>
        </is>
      </c>
      <c r="X65" s="4" t="inlineStr">
        <is>
          <t>yes</t>
        </is>
      </c>
      <c r="Y65" s="4" t="b">
        <v>0</v>
      </c>
      <c r="Z65" s="4" t="n">
        <v>184</v>
      </c>
      <c r="AA65" s="4" t="inlineStr">
        <is>
          <t>no</t>
        </is>
      </c>
      <c r="AB65" s="4" t="inlineStr">
        <is>
          <t>observed_synthetic_follow_up</t>
        </is>
      </c>
      <c r="AC65" s="4" t="inlineStr">
        <is>
          <t>moderate</t>
        </is>
      </c>
      <c r="AD65" s="4" t="inlineStr">
        <is>
          <t>baseline_predictors_only</t>
        </is>
      </c>
      <c r="AE65" s="4" t="inlineStr">
        <is>
          <t>research_only_not_clinically_validated</t>
        </is>
      </c>
      <c r="AF65" s="4" t="inlineStr">
        <is>
          <t>not_defined_pending_clinical_review</t>
        </is>
      </c>
    </row>
    <row r="66">
      <c r="A66" s="4" t="inlineStr">
        <is>
          <t>SYN-20260820-0059</t>
        </is>
      </c>
      <c r="B66" s="4" t="inlineStr">
        <is>
          <t>2026-03-14</t>
        </is>
      </c>
      <c r="C66" s="4" t="n">
        <v>34</v>
      </c>
      <c r="D66" s="4" t="inlineStr">
        <is>
          <t>male</t>
        </is>
      </c>
      <c r="E66" s="4" t="inlineStr">
        <is>
          <t>lung</t>
        </is>
      </c>
      <c r="F66" s="4" t="inlineStr">
        <is>
          <t>IV</t>
        </is>
      </c>
      <c r="G66" s="4" t="n">
        <v>176</v>
      </c>
      <c r="H66" s="4" t="n">
        <v>0</v>
      </c>
      <c r="I66" s="4" t="inlineStr">
        <is>
          <t>yes</t>
        </is>
      </c>
      <c r="J66" s="4" t="inlineStr">
        <is>
          <t>no</t>
        </is>
      </c>
      <c r="K66" s="4" t="n">
        <v>21.9712035123967</v>
      </c>
      <c r="L66" s="4" t="n">
        <v>2.883888183335931</v>
      </c>
      <c r="M66" s="4" t="inlineStr">
        <is>
          <t>unknown</t>
        </is>
      </c>
      <c r="N66" s="4" t="inlineStr">
        <is>
          <t>unknown</t>
        </is>
      </c>
      <c r="O66" s="4" t="inlineStr">
        <is>
          <t>unknown</t>
        </is>
      </c>
      <c r="P66" s="4" t="b">
        <v>0</v>
      </c>
      <c r="Q66" s="4" t="n">
        <v>92</v>
      </c>
      <c r="R66" s="4" t="inlineStr">
        <is>
          <t>unknown</t>
        </is>
      </c>
      <c r="S66" s="4" t="inlineStr">
        <is>
          <t>observed_synthetic_follow_up</t>
        </is>
      </c>
      <c r="T66" s="4" t="inlineStr">
        <is>
          <t>high</t>
        </is>
      </c>
      <c r="U66" s="4" t="inlineStr">
        <is>
          <t>baseline_predictors_only</t>
        </is>
      </c>
      <c r="V66" s="4" t="inlineStr">
        <is>
          <t>research_only_not_clinically_validated</t>
        </is>
      </c>
      <c r="W66" s="4" t="inlineStr">
        <is>
          <t>not_defined_pending_clinical_review</t>
        </is>
      </c>
      <c r="X66" s="4" t="inlineStr">
        <is>
          <t>unknown</t>
        </is>
      </c>
      <c r="Y66" s="4" t="b">
        <v>0</v>
      </c>
      <c r="Z66" s="4" t="n">
        <v>184</v>
      </c>
      <c r="AA66" s="4" t="inlineStr">
        <is>
          <t>unknown</t>
        </is>
      </c>
      <c r="AB66" s="4" t="inlineStr">
        <is>
          <t>observed_synthetic_follow_up</t>
        </is>
      </c>
      <c r="AC66" s="4" t="inlineStr">
        <is>
          <t>high</t>
        </is>
      </c>
      <c r="AD66" s="4" t="inlineStr">
        <is>
          <t>baseline_predictors_only</t>
        </is>
      </c>
      <c r="AE66" s="4" t="inlineStr">
        <is>
          <t>research_only_not_clinically_validated</t>
        </is>
      </c>
      <c r="AF66" s="4" t="inlineStr">
        <is>
          <t>not_defined_pending_clinical_review</t>
        </is>
      </c>
    </row>
    <row r="67">
      <c r="A67" s="4" t="inlineStr">
        <is>
          <t>SYN-20260820-0060</t>
        </is>
      </c>
      <c r="B67" s="4" t="inlineStr">
        <is>
          <t>2026-03-15</t>
        </is>
      </c>
      <c r="C67" s="4" t="n">
        <v>69</v>
      </c>
      <c r="D67" s="4" t="inlineStr">
        <is>
          <t>male</t>
        </is>
      </c>
      <c r="E67" s="4" t="inlineStr">
        <is>
          <t>colorectal</t>
        </is>
      </c>
      <c r="F67" s="4" t="inlineStr">
        <is>
          <t>III</t>
        </is>
      </c>
      <c r="G67" s="4" t="n">
        <v>177.6</v>
      </c>
      <c r="H67" s="4" t="n">
        <v>2</v>
      </c>
      <c r="I67" s="4" t="inlineStr">
        <is>
          <t>no</t>
        </is>
      </c>
      <c r="J67" s="4" t="inlineStr">
        <is>
          <t>unknown</t>
        </is>
      </c>
      <c r="K67" s="4" t="n">
        <v>28.08181915023131</v>
      </c>
      <c r="L67" s="4" t="n">
        <v>1.401473829507759</v>
      </c>
      <c r="M67" s="4" t="inlineStr">
        <is>
          <t>no</t>
        </is>
      </c>
      <c r="N67" s="4" t="inlineStr">
        <is>
          <t>no</t>
        </is>
      </c>
      <c r="O67" s="4" t="inlineStr">
        <is>
          <t>unknown</t>
        </is>
      </c>
      <c r="P67" s="4" t="b">
        <v>0</v>
      </c>
      <c r="Q67" s="4" t="n">
        <v>92</v>
      </c>
      <c r="R67" s="4" t="inlineStr">
        <is>
          <t>unknown</t>
        </is>
      </c>
      <c r="S67" s="4" t="inlineStr">
        <is>
          <t>observed_synthetic_follow_up</t>
        </is>
      </c>
      <c r="T67" s="4" t="inlineStr">
        <is>
          <t>moderate</t>
        </is>
      </c>
      <c r="U67" s="4" t="inlineStr">
        <is>
          <t>baseline_predictors_only</t>
        </is>
      </c>
      <c r="V67" s="4" t="inlineStr">
        <is>
          <t>research_only_not_clinically_validated</t>
        </is>
      </c>
      <c r="W67" s="4" t="inlineStr">
        <is>
          <t>not_defined_pending_clinical_review</t>
        </is>
      </c>
      <c r="X67" s="4" t="inlineStr">
        <is>
          <t>unknown</t>
        </is>
      </c>
      <c r="Y67" s="4" t="b">
        <v>0</v>
      </c>
      <c r="Z67" s="4" t="n">
        <v>184</v>
      </c>
      <c r="AA67" s="4" t="inlineStr">
        <is>
          <t>unknown</t>
        </is>
      </c>
      <c r="AB67" s="4" t="inlineStr">
        <is>
          <t>observed_synthetic_follow_up</t>
        </is>
      </c>
      <c r="AC67" s="4" t="inlineStr">
        <is>
          <t>moderate</t>
        </is>
      </c>
      <c r="AD67" s="4" t="inlineStr">
        <is>
          <t>baseline_predictors_only</t>
        </is>
      </c>
      <c r="AE67" s="4" t="inlineStr">
        <is>
          <t>research_only_not_clinically_validated</t>
        </is>
      </c>
      <c r="AF67" s="4" t="inlineStr">
        <is>
          <t>not_defined_pending_clinical_review</t>
        </is>
      </c>
    </row>
    <row r="68">
      <c r="A68" s="4" t="inlineStr">
        <is>
          <t>SYN-20260820-0061</t>
        </is>
      </c>
      <c r="B68" s="4" t="inlineStr">
        <is>
          <t>2026-01-15</t>
        </is>
      </c>
      <c r="C68" s="4" t="n">
        <v>73</v>
      </c>
      <c r="D68" s="4" t="inlineStr">
        <is>
          <t>female</t>
        </is>
      </c>
      <c r="E68" s="4" t="inlineStr">
        <is>
          <t>pancreatic</t>
        </is>
      </c>
      <c r="F68" s="4" t="inlineStr">
        <is>
          <t>I</t>
        </is>
      </c>
      <c r="G68" s="4" t="n">
        <v>160.4</v>
      </c>
      <c r="H68" s="4" t="n">
        <v>3</v>
      </c>
      <c r="I68" s="4" t="inlineStr">
        <is>
          <t>yes</t>
        </is>
      </c>
      <c r="J68" s="4" t="inlineStr">
        <is>
          <t>unknown</t>
        </is>
      </c>
      <c r="K68" s="4" t="n">
        <v>18.50462683689778</v>
      </c>
      <c r="L68" s="4" t="n">
        <v>2.552398886523661</v>
      </c>
      <c r="M68" s="4" t="inlineStr">
        <is>
          <t>yes</t>
        </is>
      </c>
      <c r="N68" s="4" t="inlineStr">
        <is>
          <t>no</t>
        </is>
      </c>
      <c r="O68" s="4" t="inlineStr">
        <is>
          <t>yes</t>
        </is>
      </c>
      <c r="P68" s="4" t="b">
        <v>0</v>
      </c>
      <c r="Q68" s="4" t="n">
        <v>90</v>
      </c>
      <c r="R68" s="4" t="inlineStr">
        <is>
          <t>no</t>
        </is>
      </c>
      <c r="S68" s="4" t="inlineStr">
        <is>
          <t>observed_synthetic_follow_up</t>
        </is>
      </c>
      <c r="T68" s="4" t="inlineStr">
        <is>
          <t>high</t>
        </is>
      </c>
      <c r="U68" s="4" t="inlineStr">
        <is>
          <t>baseline_predictors_only</t>
        </is>
      </c>
      <c r="V68" s="4" t="inlineStr">
        <is>
          <t>research_only_not_clinically_validated</t>
        </is>
      </c>
      <c r="W68" s="4" t="inlineStr">
        <is>
          <t>not_defined_pending_clinical_review</t>
        </is>
      </c>
      <c r="X68" s="4" t="inlineStr">
        <is>
          <t>yes</t>
        </is>
      </c>
      <c r="Y68" s="4" t="b">
        <v>0</v>
      </c>
      <c r="Z68" s="4" t="n">
        <v>181</v>
      </c>
      <c r="AA68" s="4" t="inlineStr">
        <is>
          <t>no</t>
        </is>
      </c>
      <c r="AB68" s="4" t="inlineStr">
        <is>
          <t>observed_synthetic_follow_up</t>
        </is>
      </c>
      <c r="AC68" s="4" t="inlineStr">
        <is>
          <t>high</t>
        </is>
      </c>
      <c r="AD68" s="4" t="inlineStr">
        <is>
          <t>baseline_predictors_only</t>
        </is>
      </c>
      <c r="AE68" s="4" t="inlineStr">
        <is>
          <t>research_only_not_clinically_validated</t>
        </is>
      </c>
      <c r="AF68" s="4" t="inlineStr">
        <is>
          <t>not_defined_pending_clinical_review</t>
        </is>
      </c>
    </row>
    <row r="69">
      <c r="A69" s="4" t="inlineStr">
        <is>
          <t>SYN-20260820-0062</t>
        </is>
      </c>
      <c r="B69" s="4" t="inlineStr">
        <is>
          <t>2026-01-16</t>
        </is>
      </c>
      <c r="C69" s="4" t="n">
        <v>35</v>
      </c>
      <c r="D69" s="4" t="inlineStr">
        <is>
          <t>male</t>
        </is>
      </c>
      <c r="E69" s="4" t="inlineStr">
        <is>
          <t>prostate</t>
        </is>
      </c>
      <c r="F69" s="4" t="inlineStr">
        <is>
          <t>IV</t>
        </is>
      </c>
      <c r="G69" s="4" t="n">
        <v>177</v>
      </c>
      <c r="H69" s="4" t="n">
        <v>1</v>
      </c>
      <c r="I69" s="4" t="inlineStr">
        <is>
          <t>yes</t>
        </is>
      </c>
      <c r="J69" s="4" t="inlineStr">
        <is>
          <t>no</t>
        </is>
      </c>
      <c r="K69" s="4" t="n">
        <v>24.00459638035047</v>
      </c>
      <c r="L69" s="4" t="n">
        <v>1.094218528065663</v>
      </c>
      <c r="M69" s="4" t="inlineStr">
        <is>
          <t>no</t>
        </is>
      </c>
      <c r="N69" s="4" t="inlineStr">
        <is>
          <t>yes</t>
        </is>
      </c>
      <c r="O69" s="4" t="inlineStr">
        <is>
          <t>no</t>
        </is>
      </c>
      <c r="P69" s="4" t="b">
        <v>0</v>
      </c>
      <c r="Q69" s="4" t="n">
        <v>90</v>
      </c>
      <c r="R69" s="4" t="inlineStr">
        <is>
          <t>no</t>
        </is>
      </c>
      <c r="S69" s="4" t="inlineStr">
        <is>
          <t>observed_synthetic_follow_up</t>
        </is>
      </c>
      <c r="T69" s="4" t="inlineStr">
        <is>
          <t>moderate</t>
        </is>
      </c>
      <c r="U69" s="4" t="inlineStr">
        <is>
          <t>baseline_predictors_only</t>
        </is>
      </c>
      <c r="V69" s="4" t="inlineStr">
        <is>
          <t>research_only_not_clinically_validated</t>
        </is>
      </c>
      <c r="W69" s="4" t="inlineStr">
        <is>
          <t>not_defined_pending_clinical_review</t>
        </is>
      </c>
      <c r="X69" s="4" t="inlineStr">
        <is>
          <t>unknown</t>
        </is>
      </c>
      <c r="Y69" s="4" t="b">
        <v>0</v>
      </c>
      <c r="Z69" s="4" t="n">
        <v>181</v>
      </c>
      <c r="AA69" s="4" t="inlineStr">
        <is>
          <t>unknown</t>
        </is>
      </c>
      <c r="AB69" s="4" t="inlineStr">
        <is>
          <t>observed_synthetic_follow_up</t>
        </is>
      </c>
      <c r="AC69" s="4" t="inlineStr">
        <is>
          <t>high</t>
        </is>
      </c>
      <c r="AD69" s="4" t="inlineStr">
        <is>
          <t>baseline_predictors_only</t>
        </is>
      </c>
      <c r="AE69" s="4" t="inlineStr">
        <is>
          <t>research_only_not_clinically_validated</t>
        </is>
      </c>
      <c r="AF69" s="4" t="inlineStr">
        <is>
          <t>not_defined_pending_clinical_review</t>
        </is>
      </c>
    </row>
    <row r="70">
      <c r="A70" s="4" t="inlineStr">
        <is>
          <t>SYN-20260820-0063</t>
        </is>
      </c>
      <c r="B70" s="4" t="inlineStr">
        <is>
          <t>2026-01-17</t>
        </is>
      </c>
      <c r="C70" s="4" t="n">
        <v>41</v>
      </c>
      <c r="D70" s="4" t="inlineStr">
        <is>
          <t>male</t>
        </is>
      </c>
      <c r="E70" s="4" t="inlineStr">
        <is>
          <t>oesophageal</t>
        </is>
      </c>
      <c r="F70" s="4" t="inlineStr">
        <is>
          <t>II</t>
        </is>
      </c>
      <c r="G70" s="4" t="n">
        <v>175.7</v>
      </c>
      <c r="H70" s="4" t="n">
        <v>3</v>
      </c>
      <c r="I70" s="4" t="inlineStr">
        <is>
          <t>yes</t>
        </is>
      </c>
      <c r="J70" s="4" t="inlineStr">
        <is>
          <t>yes</t>
        </is>
      </c>
      <c r="K70" s="4" t="n">
        <v>21.11369142504703</v>
      </c>
      <c r="L70" s="4" t="n">
        <v>2.394501183024355</v>
      </c>
      <c r="M70" s="4" t="inlineStr">
        <is>
          <t>unknown</t>
        </is>
      </c>
      <c r="N70" s="4" t="inlineStr">
        <is>
          <t>unknown</t>
        </is>
      </c>
      <c r="O70" s="4" t="inlineStr">
        <is>
          <t>unknown</t>
        </is>
      </c>
      <c r="P70" s="4" t="b">
        <v>0</v>
      </c>
      <c r="Q70" s="4" t="n">
        <v>90</v>
      </c>
      <c r="R70" s="4" t="inlineStr">
        <is>
          <t>unknown</t>
        </is>
      </c>
      <c r="S70" s="4" t="inlineStr">
        <is>
          <t>observed_synthetic_follow_up</t>
        </is>
      </c>
      <c r="T70" s="4" t="inlineStr">
        <is>
          <t>high</t>
        </is>
      </c>
      <c r="U70" s="4" t="inlineStr">
        <is>
          <t>baseline_predictors_only</t>
        </is>
      </c>
      <c r="V70" s="4" t="inlineStr">
        <is>
          <t>research_only_not_clinically_validated</t>
        </is>
      </c>
      <c r="W70" s="4" t="inlineStr">
        <is>
          <t>not_defined_pending_clinical_review</t>
        </is>
      </c>
      <c r="X70" s="4" t="inlineStr">
        <is>
          <t>yes</t>
        </is>
      </c>
      <c r="Y70" s="4" t="b">
        <v>0</v>
      </c>
      <c r="Z70" s="4" t="n">
        <v>181</v>
      </c>
      <c r="AA70" s="4" t="inlineStr">
        <is>
          <t>no</t>
        </is>
      </c>
      <c r="AB70" s="4" t="inlineStr">
        <is>
          <t>observed_synthetic_follow_up</t>
        </is>
      </c>
      <c r="AC70" s="4" t="inlineStr">
        <is>
          <t>high</t>
        </is>
      </c>
      <c r="AD70" s="4" t="inlineStr">
        <is>
          <t>baseline_predictors_only</t>
        </is>
      </c>
      <c r="AE70" s="4" t="inlineStr">
        <is>
          <t>research_only_not_clinically_validated</t>
        </is>
      </c>
      <c r="AF70" s="4" t="inlineStr">
        <is>
          <t>not_defined_pending_clinical_review</t>
        </is>
      </c>
    </row>
    <row r="71">
      <c r="A71" s="4" t="inlineStr">
        <is>
          <t>SYN-20260820-0064</t>
        </is>
      </c>
      <c r="B71" s="4" t="inlineStr">
        <is>
          <t>2026-01-18</t>
        </is>
      </c>
      <c r="C71" s="4" t="n">
        <v>73</v>
      </c>
      <c r="D71" s="4" t="inlineStr">
        <is>
          <t>unknown</t>
        </is>
      </c>
      <c r="E71" s="4" t="inlineStr">
        <is>
          <t>breast</t>
        </is>
      </c>
      <c r="F71" s="4" t="inlineStr">
        <is>
          <t>II</t>
        </is>
      </c>
      <c r="G71" s="4" t="n">
        <v>173.1</v>
      </c>
      <c r="H71" s="4" t="n">
        <v>2</v>
      </c>
      <c r="I71" s="4" t="inlineStr">
        <is>
          <t>yes</t>
        </is>
      </c>
      <c r="J71" s="4" t="inlineStr">
        <is>
          <t>unknown</t>
        </is>
      </c>
      <c r="K71" s="4" t="n">
        <v>27.32147428163696</v>
      </c>
      <c r="L71" s="4" t="n">
        <v>1.500385022620079</v>
      </c>
      <c r="M71" s="4" t="inlineStr">
        <is>
          <t>no</t>
        </is>
      </c>
      <c r="N71" s="4" t="inlineStr">
        <is>
          <t>yes</t>
        </is>
      </c>
      <c r="O71" s="4" t="inlineStr">
        <is>
          <t>no</t>
        </is>
      </c>
      <c r="P71" s="4" t="b">
        <v>0</v>
      </c>
      <c r="Q71" s="4" t="n">
        <v>90</v>
      </c>
      <c r="R71" s="4" t="inlineStr">
        <is>
          <t>no</t>
        </is>
      </c>
      <c r="S71" s="4" t="inlineStr">
        <is>
          <t>observed_synthetic_follow_up</t>
        </is>
      </c>
      <c r="T71" s="4" t="inlineStr">
        <is>
          <t>moderate</t>
        </is>
      </c>
      <c r="U71" s="4" t="inlineStr">
        <is>
          <t>baseline_predictors_only</t>
        </is>
      </c>
      <c r="V71" s="4" t="inlineStr">
        <is>
          <t>research_only_not_clinically_validated</t>
        </is>
      </c>
      <c r="W71" s="4" t="inlineStr">
        <is>
          <t>not_defined_pending_clinical_review</t>
        </is>
      </c>
      <c r="X71" s="4" t="inlineStr">
        <is>
          <t>unknown</t>
        </is>
      </c>
      <c r="Y71" s="4" t="b">
        <v>0</v>
      </c>
      <c r="Z71" s="4" t="n">
        <v>181</v>
      </c>
      <c r="AA71" s="4" t="inlineStr">
        <is>
          <t>unknown</t>
        </is>
      </c>
      <c r="AB71" s="4" t="inlineStr">
        <is>
          <t>observed_synthetic_follow_up</t>
        </is>
      </c>
      <c r="AC71" s="4" t="inlineStr">
        <is>
          <t>high</t>
        </is>
      </c>
      <c r="AD71" s="4" t="inlineStr">
        <is>
          <t>baseline_predictors_only</t>
        </is>
      </c>
      <c r="AE71" s="4" t="inlineStr">
        <is>
          <t>research_only_not_clinically_validated</t>
        </is>
      </c>
      <c r="AF71" s="4" t="inlineStr">
        <is>
          <t>not_defined_pending_clinical_review</t>
        </is>
      </c>
    </row>
    <row r="72">
      <c r="A72" s="4" t="inlineStr">
        <is>
          <t>SYN-20260820-0065</t>
        </is>
      </c>
      <c r="B72" s="4" t="inlineStr">
        <is>
          <t>2026-01-19</t>
        </is>
      </c>
      <c r="C72" s="4" t="n">
        <v>83</v>
      </c>
      <c r="D72" s="4" t="inlineStr">
        <is>
          <t>male</t>
        </is>
      </c>
      <c r="E72" s="4" t="inlineStr">
        <is>
          <t>prostate</t>
        </is>
      </c>
      <c r="F72" s="4" t="inlineStr">
        <is>
          <t>IV</t>
        </is>
      </c>
      <c r="G72" s="4" t="n">
        <v>173.1</v>
      </c>
      <c r="H72" s="4" t="n">
        <v>2</v>
      </c>
      <c r="I72" s="4" t="inlineStr">
        <is>
          <t>no</t>
        </is>
      </c>
      <c r="J72" s="4" t="inlineStr">
        <is>
          <t>yes</t>
        </is>
      </c>
      <c r="K72" s="4" t="n">
        <v>28.0954130693865</v>
      </c>
      <c r="L72" s="4" t="n">
        <v>1.639267645787334</v>
      </c>
      <c r="M72" s="4" t="inlineStr">
        <is>
          <t>no</t>
        </is>
      </c>
      <c r="N72" s="4" t="inlineStr">
        <is>
          <t>no</t>
        </is>
      </c>
      <c r="O72" s="4" t="inlineStr">
        <is>
          <t>no</t>
        </is>
      </c>
      <c r="P72" s="4" t="b">
        <v>0</v>
      </c>
      <c r="Q72" s="4" t="n">
        <v>90</v>
      </c>
      <c r="R72" s="4" t="inlineStr">
        <is>
          <t>no</t>
        </is>
      </c>
      <c r="S72" s="4" t="inlineStr">
        <is>
          <t>observed_synthetic_follow_up</t>
        </is>
      </c>
      <c r="T72" s="4" t="inlineStr">
        <is>
          <t>moderate</t>
        </is>
      </c>
      <c r="U72" s="4" t="inlineStr">
        <is>
          <t>baseline_predictors_only</t>
        </is>
      </c>
      <c r="V72" s="4" t="inlineStr">
        <is>
          <t>research_only_not_clinically_validated</t>
        </is>
      </c>
      <c r="W72" s="4" t="inlineStr">
        <is>
          <t>not_defined_pending_clinical_review</t>
        </is>
      </c>
      <c r="X72" s="4" t="inlineStr">
        <is>
          <t>unknown</t>
        </is>
      </c>
      <c r="Y72" s="4" t="b">
        <v>0</v>
      </c>
      <c r="Z72" s="4" t="n">
        <v>181</v>
      </c>
      <c r="AA72" s="4" t="inlineStr">
        <is>
          <t>unknown</t>
        </is>
      </c>
      <c r="AB72" s="4" t="inlineStr">
        <is>
          <t>observed_synthetic_follow_up</t>
        </is>
      </c>
      <c r="AC72" s="4" t="inlineStr">
        <is>
          <t>high</t>
        </is>
      </c>
      <c r="AD72" s="4" t="inlineStr">
        <is>
          <t>baseline_predictors_only</t>
        </is>
      </c>
      <c r="AE72" s="4" t="inlineStr">
        <is>
          <t>research_only_not_clinically_validated</t>
        </is>
      </c>
      <c r="AF72" s="4" t="inlineStr">
        <is>
          <t>not_defined_pending_clinical_review</t>
        </is>
      </c>
    </row>
    <row r="73">
      <c r="A73" s="4" t="inlineStr">
        <is>
          <t>SYN-20260820-0066</t>
        </is>
      </c>
      <c r="B73" s="4" t="inlineStr">
        <is>
          <t>2026-01-20</t>
        </is>
      </c>
      <c r="C73" s="4" t="n">
        <v>62</v>
      </c>
      <c r="D73" s="4" t="inlineStr">
        <is>
          <t>male</t>
        </is>
      </c>
      <c r="E73" s="4" t="inlineStr">
        <is>
          <t>lung</t>
        </is>
      </c>
      <c r="F73" s="4" t="inlineStr">
        <is>
          <t>II</t>
        </is>
      </c>
      <c r="G73" s="4" t="n">
        <v>179.1</v>
      </c>
      <c r="H73" s="4" t="n">
        <v>2</v>
      </c>
      <c r="I73" s="4" t="inlineStr">
        <is>
          <t>no</t>
        </is>
      </c>
      <c r="J73" s="4" t="inlineStr">
        <is>
          <t>yes</t>
        </is>
      </c>
      <c r="K73" s="4" t="n">
        <v>26.55376267153748</v>
      </c>
      <c r="L73" s="4" t="n">
        <v>1.80195759692872</v>
      </c>
      <c r="M73" s="4" t="inlineStr">
        <is>
          <t>no</t>
        </is>
      </c>
      <c r="N73" s="4" t="inlineStr">
        <is>
          <t>no</t>
        </is>
      </c>
      <c r="O73" s="4" t="inlineStr">
        <is>
          <t>no</t>
        </is>
      </c>
      <c r="P73" s="4" t="b">
        <v>0</v>
      </c>
      <c r="Q73" s="4" t="n">
        <v>90</v>
      </c>
      <c r="R73" s="4" t="inlineStr">
        <is>
          <t>yes</t>
        </is>
      </c>
      <c r="S73" s="4" t="inlineStr">
        <is>
          <t>observed_synthetic_follow_up</t>
        </is>
      </c>
      <c r="T73" s="4" t="inlineStr">
        <is>
          <t>moderate</t>
        </is>
      </c>
      <c r="U73" s="4" t="inlineStr">
        <is>
          <t>baseline_predictors_only</t>
        </is>
      </c>
      <c r="V73" s="4" t="inlineStr">
        <is>
          <t>research_only_not_clinically_validated</t>
        </is>
      </c>
      <c r="W73" s="4" t="inlineStr">
        <is>
          <t>not_defined_pending_clinical_review</t>
        </is>
      </c>
      <c r="X73" s="4" t="inlineStr">
        <is>
          <t>unknown</t>
        </is>
      </c>
      <c r="Y73" s="4" t="b">
        <v>0</v>
      </c>
      <c r="Z73" s="4" t="n">
        <v>181</v>
      </c>
      <c r="AA73" s="4" t="inlineStr">
        <is>
          <t>unknown</t>
        </is>
      </c>
      <c r="AB73" s="4" t="inlineStr">
        <is>
          <t>observed_synthetic_follow_up</t>
        </is>
      </c>
      <c r="AC73" s="4" t="inlineStr">
        <is>
          <t>moderate</t>
        </is>
      </c>
      <c r="AD73" s="4" t="inlineStr">
        <is>
          <t>baseline_predictors_only</t>
        </is>
      </c>
      <c r="AE73" s="4" t="inlineStr">
        <is>
          <t>research_only_not_clinically_validated</t>
        </is>
      </c>
      <c r="AF73" s="4" t="inlineStr">
        <is>
          <t>not_defined_pending_clinical_review</t>
        </is>
      </c>
    </row>
    <row r="74">
      <c r="A74" s="4" t="inlineStr">
        <is>
          <t>SYN-20260820-0067</t>
        </is>
      </c>
      <c r="B74" s="4" t="inlineStr">
        <is>
          <t>2026-01-21</t>
        </is>
      </c>
      <c r="C74" s="4" t="n">
        <v>48</v>
      </c>
      <c r="D74" s="4" t="inlineStr">
        <is>
          <t>male</t>
        </is>
      </c>
      <c r="E74" s="4" t="inlineStr">
        <is>
          <t>pancreatic</t>
        </is>
      </c>
      <c r="F74" s="4" t="inlineStr">
        <is>
          <t>II</t>
        </is>
      </c>
      <c r="G74" s="4" t="n">
        <v>163.9</v>
      </c>
      <c r="H74" s="4" t="n">
        <v>1</v>
      </c>
      <c r="I74" s="4" t="inlineStr">
        <is>
          <t>no</t>
        </is>
      </c>
      <c r="J74" s="4" t="inlineStr">
        <is>
          <t>no</t>
        </is>
      </c>
      <c r="K74" s="4" t="n">
        <v>29.93983220918125</v>
      </c>
      <c r="L74" s="4" t="n">
        <v>1.745727304934217</v>
      </c>
      <c r="M74" s="4" t="inlineStr">
        <is>
          <t>no</t>
        </is>
      </c>
      <c r="N74" s="4" t="inlineStr">
        <is>
          <t>no</t>
        </is>
      </c>
      <c r="O74" s="4" t="inlineStr">
        <is>
          <t>unknown</t>
        </is>
      </c>
      <c r="P74" s="4" t="b">
        <v>0</v>
      </c>
      <c r="Q74" s="4" t="n">
        <v>90</v>
      </c>
      <c r="R74" s="4" t="inlineStr">
        <is>
          <t>unknown</t>
        </is>
      </c>
      <c r="S74" s="4" t="inlineStr">
        <is>
          <t>observed_synthetic_follow_up</t>
        </is>
      </c>
      <c r="T74" s="4" t="inlineStr">
        <is>
          <t>moderate</t>
        </is>
      </c>
      <c r="U74" s="4" t="inlineStr">
        <is>
          <t>baseline_predictors_only</t>
        </is>
      </c>
      <c r="V74" s="4" t="inlineStr">
        <is>
          <t>research_only_not_clinically_validated</t>
        </is>
      </c>
      <c r="W74" s="4" t="inlineStr">
        <is>
          <t>not_defined_pending_clinical_review</t>
        </is>
      </c>
      <c r="X74" s="4" t="inlineStr">
        <is>
          <t>unknown</t>
        </is>
      </c>
      <c r="Y74" s="4" t="b">
        <v>0</v>
      </c>
      <c r="Z74" s="4" t="n">
        <v>181</v>
      </c>
      <c r="AA74" s="4" t="inlineStr">
        <is>
          <t>unknown</t>
        </is>
      </c>
      <c r="AB74" s="4" t="inlineStr">
        <is>
          <t>observed_synthetic_follow_up</t>
        </is>
      </c>
      <c r="AC74" s="4" t="inlineStr">
        <is>
          <t>moderate</t>
        </is>
      </c>
      <c r="AD74" s="4" t="inlineStr">
        <is>
          <t>baseline_predictors_only</t>
        </is>
      </c>
      <c r="AE74" s="4" t="inlineStr">
        <is>
          <t>research_only_not_clinically_validated</t>
        </is>
      </c>
      <c r="AF74" s="4" t="inlineStr">
        <is>
          <t>not_defined_pending_clinical_review</t>
        </is>
      </c>
    </row>
    <row r="75">
      <c r="A75" s="4" t="inlineStr">
        <is>
          <t>SYN-20260820-0068</t>
        </is>
      </c>
      <c r="B75" s="4" t="inlineStr">
        <is>
          <t>2026-01-22</t>
        </is>
      </c>
      <c r="C75" s="4" t="n">
        <v>70</v>
      </c>
      <c r="D75" s="4" t="inlineStr">
        <is>
          <t>female</t>
        </is>
      </c>
      <c r="E75" s="4" t="inlineStr">
        <is>
          <t>breast</t>
        </is>
      </c>
      <c r="F75" s="4" t="inlineStr">
        <is>
          <t>II</t>
        </is>
      </c>
      <c r="G75" s="4" t="n">
        <v>153.1</v>
      </c>
      <c r="H75" s="4" t="n">
        <v>4</v>
      </c>
      <c r="I75" s="4" t="inlineStr">
        <is>
          <t>no</t>
        </is>
      </c>
      <c r="J75" s="4" t="inlineStr">
        <is>
          <t>no</t>
        </is>
      </c>
      <c r="K75" s="4" t="n">
        <v>30.17285697159637</v>
      </c>
      <c r="M75" s="4" t="inlineStr">
        <is>
          <t>unknown</t>
        </is>
      </c>
      <c r="N75" s="4" t="inlineStr">
        <is>
          <t>unknown</t>
        </is>
      </c>
      <c r="O75" s="4" t="inlineStr">
        <is>
          <t>unknown</t>
        </is>
      </c>
      <c r="P75" s="4" t="b">
        <v>0</v>
      </c>
      <c r="Q75" s="4" t="n">
        <v>90</v>
      </c>
      <c r="R75" s="4" t="inlineStr">
        <is>
          <t>unknown</t>
        </is>
      </c>
      <c r="S75" s="4" t="inlineStr">
        <is>
          <t>observed_synthetic_follow_up</t>
        </is>
      </c>
      <c r="T75" s="4" t="inlineStr">
        <is>
          <t>withheld</t>
        </is>
      </c>
      <c r="U75" s="4" t="inlineStr">
        <is>
          <t>baseline_predictors_only</t>
        </is>
      </c>
      <c r="V75" s="4" t="inlineStr">
        <is>
          <t>withheld_missing_required_baseline_predictors</t>
        </is>
      </c>
      <c r="W75" s="4" t="inlineStr">
        <is>
          <t>not_defined_pending_clinical_review</t>
        </is>
      </c>
      <c r="X75" s="4" t="inlineStr">
        <is>
          <t>yes</t>
        </is>
      </c>
      <c r="Y75" s="4" t="b">
        <v>0</v>
      </c>
      <c r="Z75" s="4" t="n">
        <v>181</v>
      </c>
      <c r="AA75" s="4" t="inlineStr">
        <is>
          <t>no</t>
        </is>
      </c>
      <c r="AB75" s="4" t="inlineStr">
        <is>
          <t>observed_synthetic_follow_up</t>
        </is>
      </c>
      <c r="AC75" s="4" t="inlineStr">
        <is>
          <t>withheld</t>
        </is>
      </c>
      <c r="AD75" s="4" t="inlineStr">
        <is>
          <t>baseline_predictors_only</t>
        </is>
      </c>
      <c r="AE75" s="4" t="inlineStr">
        <is>
          <t>withheld_missing_required_baseline_predictors</t>
        </is>
      </c>
      <c r="AF75" s="4" t="inlineStr">
        <is>
          <t>not_defined_pending_clinical_review</t>
        </is>
      </c>
    </row>
    <row r="76">
      <c r="A76" s="4" t="inlineStr">
        <is>
          <t>SYN-20260820-0069</t>
        </is>
      </c>
      <c r="B76" s="4" t="inlineStr">
        <is>
          <t>2026-01-23</t>
        </is>
      </c>
      <c r="C76" s="4" t="n">
        <v>81</v>
      </c>
      <c r="D76" s="4" t="inlineStr">
        <is>
          <t>female</t>
        </is>
      </c>
      <c r="E76" s="4" t="inlineStr">
        <is>
          <t>lung</t>
        </is>
      </c>
      <c r="F76" s="4" t="inlineStr">
        <is>
          <t>II</t>
        </is>
      </c>
      <c r="G76" s="4" t="n">
        <v>156.6</v>
      </c>
      <c r="H76" s="4" t="n">
        <v>1</v>
      </c>
      <c r="I76" s="4" t="inlineStr">
        <is>
          <t>no</t>
        </is>
      </c>
      <c r="J76" s="4" t="inlineStr">
        <is>
          <t>no</t>
        </is>
      </c>
      <c r="K76" s="4" t="n">
        <v>23.94391352642113</v>
      </c>
      <c r="L76" s="4" t="n">
        <v>0.5150534537383766</v>
      </c>
      <c r="M76" s="4" t="inlineStr">
        <is>
          <t>no</t>
        </is>
      </c>
      <c r="N76" s="4" t="inlineStr">
        <is>
          <t>no</t>
        </is>
      </c>
      <c r="O76" s="4" t="inlineStr">
        <is>
          <t>no</t>
        </is>
      </c>
      <c r="P76" s="4" t="b">
        <v>0</v>
      </c>
      <c r="Q76" s="4" t="n">
        <v>90</v>
      </c>
      <c r="R76" s="4" t="inlineStr">
        <is>
          <t>no</t>
        </is>
      </c>
      <c r="S76" s="4" t="inlineStr">
        <is>
          <t>observed_synthetic_follow_up</t>
        </is>
      </c>
      <c r="T76" s="4" t="inlineStr">
        <is>
          <t>low</t>
        </is>
      </c>
      <c r="U76" s="4" t="inlineStr">
        <is>
          <t>baseline_predictors_only</t>
        </is>
      </c>
      <c r="V76" s="4" t="inlineStr">
        <is>
          <t>research_only_not_clinically_validated</t>
        </is>
      </c>
      <c r="W76" s="4" t="inlineStr">
        <is>
          <t>not_defined_pending_clinical_review</t>
        </is>
      </c>
      <c r="X76" s="4" t="inlineStr">
        <is>
          <t>no</t>
        </is>
      </c>
      <c r="Y76" s="4" t="b">
        <v>0</v>
      </c>
      <c r="Z76" s="4" t="n">
        <v>181</v>
      </c>
      <c r="AA76" s="4" t="inlineStr">
        <is>
          <t>no</t>
        </is>
      </c>
      <c r="AB76" s="4" t="inlineStr">
        <is>
          <t>observed_synthetic_follow_up</t>
        </is>
      </c>
      <c r="AC76" s="4" t="inlineStr">
        <is>
          <t>moderate</t>
        </is>
      </c>
      <c r="AD76" s="4" t="inlineStr">
        <is>
          <t>baseline_predictors_only</t>
        </is>
      </c>
      <c r="AE76" s="4" t="inlineStr">
        <is>
          <t>research_only_not_clinically_validated</t>
        </is>
      </c>
      <c r="AF76" s="4" t="inlineStr">
        <is>
          <t>not_defined_pending_clinical_review</t>
        </is>
      </c>
    </row>
    <row r="77">
      <c r="A77" s="4" t="inlineStr">
        <is>
          <t>SYN-20260820-0070</t>
        </is>
      </c>
      <c r="B77" s="4" t="inlineStr">
        <is>
          <t>2026-01-24</t>
        </is>
      </c>
      <c r="C77" s="4" t="n">
        <v>34</v>
      </c>
      <c r="D77" s="4" t="inlineStr">
        <is>
          <t>male</t>
        </is>
      </c>
      <c r="E77" s="4" t="inlineStr">
        <is>
          <t>lung</t>
        </is>
      </c>
      <c r="F77" s="4" t="inlineStr">
        <is>
          <t>II</t>
        </is>
      </c>
      <c r="G77" s="4" t="n">
        <v>185.7</v>
      </c>
      <c r="H77" s="4" t="n">
        <v>2</v>
      </c>
      <c r="I77" s="4" t="inlineStr">
        <is>
          <t>no</t>
        </is>
      </c>
      <c r="J77" s="4" t="inlineStr">
        <is>
          <t>unknown</t>
        </is>
      </c>
      <c r="K77" s="4" t="n">
        <v>27.55905625978519</v>
      </c>
      <c r="L77" s="4" t="n">
        <v>1.891233431060819</v>
      </c>
      <c r="M77" s="4" t="inlineStr">
        <is>
          <t>no</t>
        </is>
      </c>
      <c r="N77" s="4" t="inlineStr">
        <is>
          <t>no</t>
        </is>
      </c>
      <c r="O77" s="4" t="inlineStr">
        <is>
          <t>no</t>
        </is>
      </c>
      <c r="P77" s="4" t="b">
        <v>0</v>
      </c>
      <c r="Q77" s="4" t="n">
        <v>90</v>
      </c>
      <c r="R77" s="4" t="inlineStr">
        <is>
          <t>no</t>
        </is>
      </c>
      <c r="S77" s="4" t="inlineStr">
        <is>
          <t>observed_synthetic_follow_up</t>
        </is>
      </c>
      <c r="T77" s="4" t="inlineStr">
        <is>
          <t>moderate</t>
        </is>
      </c>
      <c r="U77" s="4" t="inlineStr">
        <is>
          <t>baseline_predictors_only</t>
        </is>
      </c>
      <c r="V77" s="4" t="inlineStr">
        <is>
          <t>research_only_not_clinically_validated</t>
        </is>
      </c>
      <c r="W77" s="4" t="inlineStr">
        <is>
          <t>not_defined_pending_clinical_review</t>
        </is>
      </c>
      <c r="X77" s="4" t="inlineStr">
        <is>
          <t>unknown</t>
        </is>
      </c>
      <c r="Y77" s="4" t="b">
        <v>0</v>
      </c>
      <c r="Z77" s="4" t="n">
        <v>181</v>
      </c>
      <c r="AA77" s="4" t="inlineStr">
        <is>
          <t>unknown</t>
        </is>
      </c>
      <c r="AB77" s="4" t="inlineStr">
        <is>
          <t>observed_synthetic_follow_up</t>
        </is>
      </c>
      <c r="AC77" s="4" t="inlineStr">
        <is>
          <t>moderate</t>
        </is>
      </c>
      <c r="AD77" s="4" t="inlineStr">
        <is>
          <t>baseline_predictors_only</t>
        </is>
      </c>
      <c r="AE77" s="4" t="inlineStr">
        <is>
          <t>research_only_not_clinically_validated</t>
        </is>
      </c>
      <c r="AF77" s="4" t="inlineStr">
        <is>
          <t>not_defined_pending_clinical_review</t>
        </is>
      </c>
    </row>
    <row r="78">
      <c r="A78" s="4" t="inlineStr">
        <is>
          <t>SYN-20260820-0071</t>
        </is>
      </c>
      <c r="B78" s="4" t="inlineStr">
        <is>
          <t>2026-01-25</t>
        </is>
      </c>
      <c r="C78" s="4" t="n">
        <v>80</v>
      </c>
      <c r="D78" s="4" t="inlineStr">
        <is>
          <t>female</t>
        </is>
      </c>
      <c r="E78" s="4" t="inlineStr">
        <is>
          <t>colorectal</t>
        </is>
      </c>
      <c r="F78" s="4" t="inlineStr">
        <is>
          <t>II</t>
        </is>
      </c>
      <c r="G78" s="4" t="n">
        <v>160.7</v>
      </c>
      <c r="H78" s="4" t="n">
        <v>1</v>
      </c>
      <c r="I78" s="4" t="inlineStr">
        <is>
          <t>no</t>
        </is>
      </c>
      <c r="J78" s="4" t="inlineStr">
        <is>
          <t>no</t>
        </is>
      </c>
      <c r="K78" s="4" t="n">
        <v>23.20045816974508</v>
      </c>
      <c r="L78" s="4" t="n">
        <v>1.109167134321456</v>
      </c>
      <c r="M78" s="4" t="inlineStr">
        <is>
          <t>no</t>
        </is>
      </c>
      <c r="N78" s="4" t="inlineStr">
        <is>
          <t>no</t>
        </is>
      </c>
      <c r="O78" s="4" t="inlineStr">
        <is>
          <t>unknown</t>
        </is>
      </c>
      <c r="P78" s="4" t="b">
        <v>0</v>
      </c>
      <c r="Q78" s="4" t="n">
        <v>90</v>
      </c>
      <c r="R78" s="4" t="inlineStr">
        <is>
          <t>unknown</t>
        </is>
      </c>
      <c r="S78" s="4" t="inlineStr">
        <is>
          <t>observed_synthetic_follow_up</t>
        </is>
      </c>
      <c r="T78" s="4" t="inlineStr">
        <is>
          <t>low</t>
        </is>
      </c>
      <c r="U78" s="4" t="inlineStr">
        <is>
          <t>baseline_predictors_only</t>
        </is>
      </c>
      <c r="V78" s="4" t="inlineStr">
        <is>
          <t>research_only_not_clinically_validated</t>
        </is>
      </c>
      <c r="W78" s="4" t="inlineStr">
        <is>
          <t>not_defined_pending_clinical_review</t>
        </is>
      </c>
      <c r="X78" s="4" t="inlineStr">
        <is>
          <t>unknown</t>
        </is>
      </c>
      <c r="Y78" s="4" t="b">
        <v>0</v>
      </c>
      <c r="Z78" s="4" t="n">
        <v>181</v>
      </c>
      <c r="AA78" s="4" t="inlineStr">
        <is>
          <t>unknown</t>
        </is>
      </c>
      <c r="AB78" s="4" t="inlineStr">
        <is>
          <t>observed_synthetic_follow_up</t>
        </is>
      </c>
      <c r="AC78" s="4" t="inlineStr">
        <is>
          <t>moderate</t>
        </is>
      </c>
      <c r="AD78" s="4" t="inlineStr">
        <is>
          <t>baseline_predictors_only</t>
        </is>
      </c>
      <c r="AE78" s="4" t="inlineStr">
        <is>
          <t>research_only_not_clinically_validated</t>
        </is>
      </c>
      <c r="AF78" s="4" t="inlineStr">
        <is>
          <t>not_defined_pending_clinical_review</t>
        </is>
      </c>
    </row>
    <row r="79">
      <c r="A79" s="4" t="inlineStr">
        <is>
          <t>SYN-20260820-0072</t>
        </is>
      </c>
      <c r="B79" s="4" t="inlineStr">
        <is>
          <t>2026-01-26</t>
        </is>
      </c>
      <c r="C79" s="4" t="n">
        <v>63</v>
      </c>
      <c r="D79" s="4" t="inlineStr">
        <is>
          <t>female</t>
        </is>
      </c>
      <c r="E79" s="4" t="inlineStr">
        <is>
          <t>pancreatic</t>
        </is>
      </c>
      <c r="F79" s="4" t="inlineStr">
        <is>
          <t>IV</t>
        </is>
      </c>
      <c r="G79" s="4" t="n">
        <v>165.3</v>
      </c>
      <c r="H79" s="4" t="n">
        <v>1</v>
      </c>
      <c r="I79" s="4" t="inlineStr">
        <is>
          <t>yes</t>
        </is>
      </c>
      <c r="J79" s="4" t="inlineStr">
        <is>
          <t>yes</t>
        </is>
      </c>
      <c r="K79" s="4" t="n">
        <v>23.31678749411234</v>
      </c>
      <c r="L79" s="4" t="n">
        <v>3.960022912960891</v>
      </c>
      <c r="M79" s="4" t="inlineStr">
        <is>
          <t>unknown</t>
        </is>
      </c>
      <c r="N79" s="4" t="inlineStr">
        <is>
          <t>unknown</t>
        </is>
      </c>
      <c r="O79" s="4" t="inlineStr">
        <is>
          <t>unknown</t>
        </is>
      </c>
      <c r="P79" s="4" t="b">
        <v>0</v>
      </c>
      <c r="Q79" s="4" t="n">
        <v>90</v>
      </c>
      <c r="R79" s="4" t="inlineStr">
        <is>
          <t>unknown</t>
        </is>
      </c>
      <c r="S79" s="4" t="inlineStr">
        <is>
          <t>observed_synthetic_follow_up</t>
        </is>
      </c>
      <c r="T79" s="4" t="inlineStr">
        <is>
          <t>high</t>
        </is>
      </c>
      <c r="U79" s="4" t="inlineStr">
        <is>
          <t>baseline_predictors_only</t>
        </is>
      </c>
      <c r="V79" s="4" t="inlineStr">
        <is>
          <t>research_only_not_clinically_validated</t>
        </is>
      </c>
      <c r="W79" s="4" t="inlineStr">
        <is>
          <t>not_defined_pending_clinical_review</t>
        </is>
      </c>
      <c r="X79" s="4" t="inlineStr">
        <is>
          <t>yes</t>
        </is>
      </c>
      <c r="Y79" s="4" t="b">
        <v>0</v>
      </c>
      <c r="Z79" s="4" t="n">
        <v>181</v>
      </c>
      <c r="AA79" s="4" t="inlineStr">
        <is>
          <t>no</t>
        </is>
      </c>
      <c r="AB79" s="4" t="inlineStr">
        <is>
          <t>observed_synthetic_follow_up</t>
        </is>
      </c>
      <c r="AC79" s="4" t="inlineStr">
        <is>
          <t>high</t>
        </is>
      </c>
      <c r="AD79" s="4" t="inlineStr">
        <is>
          <t>baseline_predictors_only</t>
        </is>
      </c>
      <c r="AE79" s="4" t="inlineStr">
        <is>
          <t>research_only_not_clinically_validated</t>
        </is>
      </c>
      <c r="AF79" s="4" t="inlineStr">
        <is>
          <t>not_defined_pending_clinical_review</t>
        </is>
      </c>
    </row>
    <row r="80">
      <c r="A80" s="4" t="inlineStr">
        <is>
          <t>SYN-20260820-0073</t>
        </is>
      </c>
      <c r="B80" s="4" t="inlineStr">
        <is>
          <t>2026-01-27</t>
        </is>
      </c>
      <c r="C80" s="4" t="n">
        <v>77</v>
      </c>
      <c r="D80" s="4" t="inlineStr">
        <is>
          <t>female</t>
        </is>
      </c>
      <c r="E80" s="4" t="inlineStr">
        <is>
          <t>lung</t>
        </is>
      </c>
      <c r="F80" s="4" t="inlineStr">
        <is>
          <t>III</t>
        </is>
      </c>
      <c r="G80" s="4" t="n">
        <v>163.7</v>
      </c>
      <c r="H80" s="4" t="inlineStr">
        <is>
          <t>unknown</t>
        </is>
      </c>
      <c r="I80" s="4" t="inlineStr">
        <is>
          <t>yes</t>
        </is>
      </c>
      <c r="J80" s="4" t="inlineStr">
        <is>
          <t>unknown</t>
        </is>
      </c>
      <c r="K80" s="4" t="n">
        <v>21.82277651543846</v>
      </c>
      <c r="L80" s="4" t="n">
        <v>2.963528357614578</v>
      </c>
      <c r="M80" s="4" t="inlineStr">
        <is>
          <t>unknown</t>
        </is>
      </c>
      <c r="N80" s="4" t="inlineStr">
        <is>
          <t>unknown</t>
        </is>
      </c>
      <c r="O80" s="4" t="inlineStr">
        <is>
          <t>no</t>
        </is>
      </c>
      <c r="P80" s="4" t="b">
        <v>0</v>
      </c>
      <c r="Q80" s="4" t="n">
        <v>90</v>
      </c>
      <c r="R80" s="4" t="inlineStr">
        <is>
          <t>no</t>
        </is>
      </c>
      <c r="S80" s="4" t="inlineStr">
        <is>
          <t>observed_synthetic_follow_up</t>
        </is>
      </c>
      <c r="T80" s="4" t="inlineStr">
        <is>
          <t>withheld</t>
        </is>
      </c>
      <c r="U80" s="4" t="inlineStr">
        <is>
          <t>baseline_predictors_only</t>
        </is>
      </c>
      <c r="V80" s="4" t="inlineStr">
        <is>
          <t>withheld_missing_required_baseline_predictors</t>
        </is>
      </c>
      <c r="W80" s="4" t="inlineStr">
        <is>
          <t>not_defined_pending_clinical_review</t>
        </is>
      </c>
      <c r="X80" s="4" t="inlineStr">
        <is>
          <t>unknown</t>
        </is>
      </c>
      <c r="Y80" s="4" t="b">
        <v>0</v>
      </c>
      <c r="Z80" s="4" t="n">
        <v>181</v>
      </c>
      <c r="AA80" s="4" t="inlineStr">
        <is>
          <t>unknown</t>
        </is>
      </c>
      <c r="AB80" s="4" t="inlineStr">
        <is>
          <t>observed_synthetic_follow_up</t>
        </is>
      </c>
      <c r="AC80" s="4" t="inlineStr">
        <is>
          <t>withheld</t>
        </is>
      </c>
      <c r="AD80" s="4" t="inlineStr">
        <is>
          <t>baseline_predictors_only</t>
        </is>
      </c>
      <c r="AE80" s="4" t="inlineStr">
        <is>
          <t>withheld_missing_required_baseline_predictors</t>
        </is>
      </c>
      <c r="AF80" s="4" t="inlineStr">
        <is>
          <t>not_defined_pending_clinical_review</t>
        </is>
      </c>
    </row>
    <row r="81">
      <c r="A81" s="4" t="inlineStr">
        <is>
          <t>SYN-20260820-0074</t>
        </is>
      </c>
      <c r="B81" s="4" t="inlineStr">
        <is>
          <t>2026-01-28</t>
        </is>
      </c>
      <c r="C81" s="4" t="n">
        <v>54</v>
      </c>
      <c r="D81" s="4" t="inlineStr">
        <is>
          <t>female</t>
        </is>
      </c>
      <c r="E81" s="4" t="inlineStr">
        <is>
          <t>other solid tumour</t>
        </is>
      </c>
      <c r="F81" s="4" t="inlineStr">
        <is>
          <t>IV</t>
        </is>
      </c>
      <c r="G81" s="4" t="n">
        <v>157.5</v>
      </c>
      <c r="H81" s="4" t="n">
        <v>0</v>
      </c>
      <c r="I81" s="4" t="inlineStr">
        <is>
          <t>yes</t>
        </is>
      </c>
      <c r="J81" s="4" t="inlineStr">
        <is>
          <t>no</t>
        </is>
      </c>
      <c r="K81" s="4" t="n">
        <v>30.64550264550265</v>
      </c>
      <c r="L81" s="4" t="n">
        <v>0.1339954283912717</v>
      </c>
      <c r="M81" s="4" t="inlineStr">
        <is>
          <t>no</t>
        </is>
      </c>
      <c r="N81" s="4" t="inlineStr">
        <is>
          <t>no</t>
        </is>
      </c>
      <c r="O81" s="4" t="inlineStr">
        <is>
          <t>no</t>
        </is>
      </c>
      <c r="P81" s="4" t="b">
        <v>0</v>
      </c>
      <c r="Q81" s="4" t="n">
        <v>90</v>
      </c>
      <c r="R81" s="4" t="inlineStr">
        <is>
          <t>no</t>
        </is>
      </c>
      <c r="S81" s="4" t="inlineStr">
        <is>
          <t>observed_synthetic_follow_up</t>
        </is>
      </c>
      <c r="T81" s="4" t="inlineStr">
        <is>
          <t>moderate</t>
        </is>
      </c>
      <c r="U81" s="4" t="inlineStr">
        <is>
          <t>baseline_predictors_only</t>
        </is>
      </c>
      <c r="V81" s="4" t="inlineStr">
        <is>
          <t>research_only_not_clinically_validated</t>
        </is>
      </c>
      <c r="W81" s="4" t="inlineStr">
        <is>
          <t>not_defined_pending_clinical_review</t>
        </is>
      </c>
      <c r="X81" s="4" t="inlineStr">
        <is>
          <t>no</t>
        </is>
      </c>
      <c r="Y81" s="4" t="b">
        <v>0</v>
      </c>
      <c r="Z81" s="4" t="n">
        <v>181</v>
      </c>
      <c r="AA81" s="4" t="inlineStr">
        <is>
          <t>no</t>
        </is>
      </c>
      <c r="AB81" s="4" t="inlineStr">
        <is>
          <t>observed_synthetic_follow_up</t>
        </is>
      </c>
      <c r="AC81" s="4" t="inlineStr">
        <is>
          <t>moderate</t>
        </is>
      </c>
      <c r="AD81" s="4" t="inlineStr">
        <is>
          <t>baseline_predictors_only</t>
        </is>
      </c>
      <c r="AE81" s="4" t="inlineStr">
        <is>
          <t>research_only_not_clinically_validated</t>
        </is>
      </c>
      <c r="AF81" s="4" t="inlineStr">
        <is>
          <t>not_defined_pending_clinical_review</t>
        </is>
      </c>
    </row>
    <row r="82">
      <c r="A82" s="4" t="inlineStr">
        <is>
          <t>SYN-20260820-0075</t>
        </is>
      </c>
      <c r="B82" s="4" t="inlineStr">
        <is>
          <t>2026-01-29</t>
        </is>
      </c>
      <c r="C82" s="4" t="n">
        <v>61</v>
      </c>
      <c r="D82" s="4" t="inlineStr">
        <is>
          <t>female</t>
        </is>
      </c>
      <c r="E82" s="4" t="inlineStr">
        <is>
          <t>other solid tumour</t>
        </is>
      </c>
      <c r="F82" s="4" t="inlineStr">
        <is>
          <t>III</t>
        </is>
      </c>
      <c r="G82" s="4" t="n">
        <v>175.8</v>
      </c>
      <c r="H82" s="4" t="n">
        <v>0</v>
      </c>
      <c r="I82" s="4" t="inlineStr">
        <is>
          <t>no</t>
        </is>
      </c>
      <c r="J82" s="4" t="inlineStr">
        <is>
          <t>no</t>
        </is>
      </c>
      <c r="K82" s="4" t="n">
        <v>28.63069653305999</v>
      </c>
      <c r="L82" s="4" t="n">
        <v>-0.243570862127567</v>
      </c>
      <c r="M82" s="4" t="inlineStr">
        <is>
          <t>no</t>
        </is>
      </c>
      <c r="N82" s="4" t="inlineStr">
        <is>
          <t>no</t>
        </is>
      </c>
      <c r="O82" s="4" t="inlineStr">
        <is>
          <t>no</t>
        </is>
      </c>
      <c r="P82" s="4" t="b">
        <v>0</v>
      </c>
      <c r="Q82" s="4" t="n">
        <v>90</v>
      </c>
      <c r="R82" s="4" t="inlineStr">
        <is>
          <t>no</t>
        </is>
      </c>
      <c r="S82" s="4" t="inlineStr">
        <is>
          <t>observed_synthetic_follow_up</t>
        </is>
      </c>
      <c r="T82" s="4" t="inlineStr">
        <is>
          <t>low</t>
        </is>
      </c>
      <c r="U82" s="4" t="inlineStr">
        <is>
          <t>baseline_predictors_only</t>
        </is>
      </c>
      <c r="V82" s="4" t="inlineStr">
        <is>
          <t>research_only_not_clinically_validated</t>
        </is>
      </c>
      <c r="W82" s="4" t="inlineStr">
        <is>
          <t>not_defined_pending_clinical_review</t>
        </is>
      </c>
      <c r="X82" s="4" t="inlineStr">
        <is>
          <t>no</t>
        </is>
      </c>
      <c r="Y82" s="4" t="b">
        <v>0</v>
      </c>
      <c r="Z82" s="4" t="n">
        <v>181</v>
      </c>
      <c r="AA82" s="4" t="inlineStr">
        <is>
          <t>no</t>
        </is>
      </c>
      <c r="AB82" s="4" t="inlineStr">
        <is>
          <t>observed_synthetic_follow_up</t>
        </is>
      </c>
      <c r="AC82" s="4" t="inlineStr">
        <is>
          <t>low</t>
        </is>
      </c>
      <c r="AD82" s="4" t="inlineStr">
        <is>
          <t>baseline_predictors_only</t>
        </is>
      </c>
      <c r="AE82" s="4" t="inlineStr">
        <is>
          <t>research_only_not_clinically_validated</t>
        </is>
      </c>
      <c r="AF82" s="4" t="inlineStr">
        <is>
          <t>not_defined_pending_clinical_review</t>
        </is>
      </c>
    </row>
    <row r="83">
      <c r="A83" s="4" t="inlineStr">
        <is>
          <t>SYN-20260820-0076</t>
        </is>
      </c>
      <c r="B83" s="4" t="inlineStr">
        <is>
          <t>2026-01-30</t>
        </is>
      </c>
      <c r="C83" s="4" t="n">
        <v>62</v>
      </c>
      <c r="D83" s="4" t="inlineStr">
        <is>
          <t>female</t>
        </is>
      </c>
      <c r="E83" s="4" t="inlineStr">
        <is>
          <t>pancreatic</t>
        </is>
      </c>
      <c r="F83" s="4" t="inlineStr">
        <is>
          <t>I</t>
        </is>
      </c>
      <c r="G83" s="4" t="n">
        <v>173.5</v>
      </c>
      <c r="H83" s="4" t="n">
        <v>3</v>
      </c>
      <c r="I83" s="4" t="inlineStr">
        <is>
          <t>yes</t>
        </is>
      </c>
      <c r="J83" s="4" t="inlineStr">
        <is>
          <t>no</t>
        </is>
      </c>
      <c r="K83" s="4" t="n">
        <v>36.95305168218322</v>
      </c>
      <c r="L83" s="4" t="n">
        <v>2.161924446985354</v>
      </c>
      <c r="M83" s="4" t="inlineStr">
        <is>
          <t>unknown</t>
        </is>
      </c>
      <c r="N83" s="4" t="inlineStr">
        <is>
          <t>unknown</t>
        </is>
      </c>
      <c r="O83" s="4" t="inlineStr">
        <is>
          <t>unknown</t>
        </is>
      </c>
      <c r="P83" s="4" t="b">
        <v>0</v>
      </c>
      <c r="Q83" s="4" t="n">
        <v>90</v>
      </c>
      <c r="R83" s="4" t="inlineStr">
        <is>
          <t>unknown</t>
        </is>
      </c>
      <c r="S83" s="4" t="inlineStr">
        <is>
          <t>observed_synthetic_follow_up</t>
        </is>
      </c>
      <c r="T83" s="4" t="inlineStr">
        <is>
          <t>high</t>
        </is>
      </c>
      <c r="U83" s="4" t="inlineStr">
        <is>
          <t>baseline_predictors_only</t>
        </is>
      </c>
      <c r="V83" s="4" t="inlineStr">
        <is>
          <t>research_only_not_clinically_validated</t>
        </is>
      </c>
      <c r="W83" s="4" t="inlineStr">
        <is>
          <t>not_defined_pending_clinical_review</t>
        </is>
      </c>
      <c r="X83" s="4" t="inlineStr">
        <is>
          <t>yes</t>
        </is>
      </c>
      <c r="Y83" s="4" t="b">
        <v>0</v>
      </c>
      <c r="Z83" s="4" t="n">
        <v>181</v>
      </c>
      <c r="AA83" s="4" t="inlineStr">
        <is>
          <t>no</t>
        </is>
      </c>
      <c r="AB83" s="4" t="inlineStr">
        <is>
          <t>observed_synthetic_follow_up</t>
        </is>
      </c>
      <c r="AC83" s="4" t="inlineStr">
        <is>
          <t>high</t>
        </is>
      </c>
      <c r="AD83" s="4" t="inlineStr">
        <is>
          <t>baseline_predictors_only</t>
        </is>
      </c>
      <c r="AE83" s="4" t="inlineStr">
        <is>
          <t>research_only_not_clinically_validated</t>
        </is>
      </c>
      <c r="AF83" s="4" t="inlineStr">
        <is>
          <t>not_defined_pending_clinical_review</t>
        </is>
      </c>
    </row>
    <row r="84">
      <c r="A84" s="4" t="inlineStr">
        <is>
          <t>SYN-20260820-0077</t>
        </is>
      </c>
      <c r="B84" s="4" t="inlineStr">
        <is>
          <t>2026-01-31</t>
        </is>
      </c>
      <c r="C84" s="4" t="n">
        <v>73</v>
      </c>
      <c r="D84" s="4" t="inlineStr">
        <is>
          <t>male</t>
        </is>
      </c>
      <c r="E84" s="4" t="inlineStr">
        <is>
          <t>other solid tumour</t>
        </is>
      </c>
      <c r="F84" s="4" t="inlineStr">
        <is>
          <t>III</t>
        </is>
      </c>
      <c r="G84" s="4" t="n">
        <v>172.4</v>
      </c>
      <c r="H84" s="4" t="n">
        <v>2</v>
      </c>
      <c r="I84" s="4" t="inlineStr">
        <is>
          <t>no</t>
        </is>
      </c>
      <c r="J84" s="4" t="inlineStr">
        <is>
          <t>unknown</t>
        </is>
      </c>
      <c r="K84" s="4" t="n">
        <v>22.73822277011859</v>
      </c>
      <c r="L84" s="4" t="n">
        <v>0.5371833929386273</v>
      </c>
      <c r="M84" s="4" t="inlineStr">
        <is>
          <t>no</t>
        </is>
      </c>
      <c r="N84" s="4" t="inlineStr">
        <is>
          <t>no</t>
        </is>
      </c>
      <c r="O84" s="4" t="inlineStr">
        <is>
          <t>no</t>
        </is>
      </c>
      <c r="P84" s="4" t="b">
        <v>0</v>
      </c>
      <c r="Q84" s="4" t="n">
        <v>89</v>
      </c>
      <c r="R84" s="4" t="inlineStr">
        <is>
          <t>no</t>
        </is>
      </c>
      <c r="S84" s="4" t="inlineStr">
        <is>
          <t>observed_synthetic_follow_up</t>
        </is>
      </c>
      <c r="T84" s="4" t="inlineStr">
        <is>
          <t>moderate</t>
        </is>
      </c>
      <c r="U84" s="4" t="inlineStr">
        <is>
          <t>baseline_predictors_only</t>
        </is>
      </c>
      <c r="V84" s="4" t="inlineStr">
        <is>
          <t>research_only_not_clinically_validated</t>
        </is>
      </c>
      <c r="W84" s="4" t="inlineStr">
        <is>
          <t>not_defined_pending_clinical_review</t>
        </is>
      </c>
      <c r="X84" s="4" t="inlineStr">
        <is>
          <t>no</t>
        </is>
      </c>
      <c r="Y84" s="4" t="b">
        <v>0</v>
      </c>
      <c r="Z84" s="4" t="n">
        <v>181</v>
      </c>
      <c r="AA84" s="4" t="inlineStr">
        <is>
          <t>no</t>
        </is>
      </c>
      <c r="AB84" s="4" t="inlineStr">
        <is>
          <t>observed_synthetic_follow_up</t>
        </is>
      </c>
      <c r="AC84" s="4" t="inlineStr">
        <is>
          <t>moderate</t>
        </is>
      </c>
      <c r="AD84" s="4" t="inlineStr">
        <is>
          <t>baseline_predictors_only</t>
        </is>
      </c>
      <c r="AE84" s="4" t="inlineStr">
        <is>
          <t>research_only_not_clinically_validated</t>
        </is>
      </c>
      <c r="AF84" s="4" t="inlineStr">
        <is>
          <t>not_defined_pending_clinical_review</t>
        </is>
      </c>
    </row>
    <row r="85">
      <c r="A85" s="4" t="inlineStr">
        <is>
          <t>SYN-20260820-0078</t>
        </is>
      </c>
      <c r="B85" s="4" t="inlineStr">
        <is>
          <t>2026-02-01</t>
        </is>
      </c>
      <c r="C85" s="4" t="n">
        <v>67</v>
      </c>
      <c r="D85" s="4" t="inlineStr">
        <is>
          <t>male</t>
        </is>
      </c>
      <c r="E85" s="4" t="inlineStr">
        <is>
          <t>breast</t>
        </is>
      </c>
      <c r="F85" s="4" t="inlineStr">
        <is>
          <t>III</t>
        </is>
      </c>
      <c r="G85" s="4" t="n">
        <v>177.3</v>
      </c>
      <c r="H85" s="4" t="n">
        <v>1</v>
      </c>
      <c r="I85" s="4" t="inlineStr">
        <is>
          <t>no</t>
        </is>
      </c>
      <c r="J85" s="4" t="inlineStr">
        <is>
          <t>no</t>
        </is>
      </c>
      <c r="K85" s="4" t="n">
        <v>30.65821883621878</v>
      </c>
      <c r="L85" s="4" t="n">
        <v>-0.681132016338812</v>
      </c>
      <c r="M85" s="4" t="inlineStr">
        <is>
          <t>no</t>
        </is>
      </c>
      <c r="N85" s="4" t="inlineStr">
        <is>
          <t>no</t>
        </is>
      </c>
      <c r="O85" s="4" t="inlineStr">
        <is>
          <t>no</t>
        </is>
      </c>
      <c r="P85" s="4" t="b">
        <v>0</v>
      </c>
      <c r="Q85" s="4" t="n">
        <v>89</v>
      </c>
      <c r="R85" s="4" t="inlineStr">
        <is>
          <t>no</t>
        </is>
      </c>
      <c r="S85" s="4" t="inlineStr">
        <is>
          <t>observed_synthetic_follow_up</t>
        </is>
      </c>
      <c r="T85" s="4" t="inlineStr">
        <is>
          <t>low</t>
        </is>
      </c>
      <c r="U85" s="4" t="inlineStr">
        <is>
          <t>baseline_predictors_only</t>
        </is>
      </c>
      <c r="V85" s="4" t="inlineStr">
        <is>
          <t>research_only_not_clinically_validated</t>
        </is>
      </c>
      <c r="W85" s="4" t="inlineStr">
        <is>
          <t>not_defined_pending_clinical_review</t>
        </is>
      </c>
      <c r="X85" s="4" t="inlineStr">
        <is>
          <t>no</t>
        </is>
      </c>
      <c r="Y85" s="4" t="b">
        <v>0</v>
      </c>
      <c r="Z85" s="4" t="n">
        <v>181</v>
      </c>
      <c r="AA85" s="4" t="inlineStr">
        <is>
          <t>no</t>
        </is>
      </c>
      <c r="AB85" s="4" t="inlineStr">
        <is>
          <t>observed_synthetic_follow_up</t>
        </is>
      </c>
      <c r="AC85" s="4" t="inlineStr">
        <is>
          <t>moderate</t>
        </is>
      </c>
      <c r="AD85" s="4" t="inlineStr">
        <is>
          <t>baseline_predictors_only</t>
        </is>
      </c>
      <c r="AE85" s="4" t="inlineStr">
        <is>
          <t>research_only_not_clinically_validated</t>
        </is>
      </c>
      <c r="AF85" s="4" t="inlineStr">
        <is>
          <t>not_defined_pending_clinical_review</t>
        </is>
      </c>
    </row>
    <row r="86">
      <c r="A86" s="4" t="inlineStr">
        <is>
          <t>SYN-20260820-0079</t>
        </is>
      </c>
      <c r="B86" s="4" t="inlineStr">
        <is>
          <t>2026-02-02</t>
        </is>
      </c>
      <c r="C86" s="4" t="n">
        <v>79</v>
      </c>
      <c r="D86" s="4" t="inlineStr">
        <is>
          <t>female</t>
        </is>
      </c>
      <c r="E86" s="4" t="inlineStr">
        <is>
          <t>oesophageal</t>
        </is>
      </c>
      <c r="F86" s="4" t="inlineStr">
        <is>
          <t>III</t>
        </is>
      </c>
      <c r="G86" s="4" t="n">
        <v>165.4</v>
      </c>
      <c r="H86" s="4" t="n">
        <v>2</v>
      </c>
      <c r="I86" s="4" t="inlineStr">
        <is>
          <t>no</t>
        </is>
      </c>
      <c r="J86" s="4" t="inlineStr">
        <is>
          <t>no</t>
        </is>
      </c>
      <c r="K86" s="4" t="n">
        <v>37.91585091434929</v>
      </c>
      <c r="L86" s="4" t="n">
        <v>3.790787838314124</v>
      </c>
      <c r="M86" s="4" t="inlineStr">
        <is>
          <t>unknown</t>
        </is>
      </c>
      <c r="N86" s="4" t="inlineStr">
        <is>
          <t>unknown</t>
        </is>
      </c>
      <c r="O86" s="4" t="inlineStr">
        <is>
          <t>yes</t>
        </is>
      </c>
      <c r="P86" s="4" t="b">
        <v>0</v>
      </c>
      <c r="Q86" s="4" t="n">
        <v>89</v>
      </c>
      <c r="R86" s="4" t="inlineStr">
        <is>
          <t>no</t>
        </is>
      </c>
      <c r="S86" s="4" t="inlineStr">
        <is>
          <t>observed_synthetic_follow_up</t>
        </is>
      </c>
      <c r="T86" s="4" t="inlineStr">
        <is>
          <t>moderate</t>
        </is>
      </c>
      <c r="U86" s="4" t="inlineStr">
        <is>
          <t>baseline_predictors_only</t>
        </is>
      </c>
      <c r="V86" s="4" t="inlineStr">
        <is>
          <t>research_only_not_clinically_validated</t>
        </is>
      </c>
      <c r="W86" s="4" t="inlineStr">
        <is>
          <t>not_defined_pending_clinical_review</t>
        </is>
      </c>
      <c r="X86" s="4" t="inlineStr">
        <is>
          <t>yes</t>
        </is>
      </c>
      <c r="Y86" s="4" t="b">
        <v>0</v>
      </c>
      <c r="Z86" s="4" t="n">
        <v>181</v>
      </c>
      <c r="AA86" s="4" t="inlineStr">
        <is>
          <t>no</t>
        </is>
      </c>
      <c r="AB86" s="4" t="inlineStr">
        <is>
          <t>observed_synthetic_follow_up</t>
        </is>
      </c>
      <c r="AC86" s="4" t="inlineStr">
        <is>
          <t>high</t>
        </is>
      </c>
      <c r="AD86" s="4" t="inlineStr">
        <is>
          <t>baseline_predictors_only</t>
        </is>
      </c>
      <c r="AE86" s="4" t="inlineStr">
        <is>
          <t>research_only_not_clinically_validated</t>
        </is>
      </c>
      <c r="AF86" s="4" t="inlineStr">
        <is>
          <t>not_defined_pending_clinical_review</t>
        </is>
      </c>
    </row>
    <row r="87">
      <c r="A87" s="4" t="inlineStr">
        <is>
          <t>SYN-20260820-0080</t>
        </is>
      </c>
      <c r="B87" s="4" t="inlineStr">
        <is>
          <t>2026-02-03</t>
        </is>
      </c>
      <c r="C87" s="4" t="n">
        <v>57</v>
      </c>
      <c r="D87" s="4" t="inlineStr">
        <is>
          <t>male</t>
        </is>
      </c>
      <c r="E87" s="4" t="inlineStr">
        <is>
          <t>head and neck</t>
        </is>
      </c>
      <c r="F87" s="4" t="inlineStr">
        <is>
          <t>II</t>
        </is>
      </c>
      <c r="G87" s="4" t="n">
        <v>164.8</v>
      </c>
      <c r="H87" s="4" t="n">
        <v>1</v>
      </c>
      <c r="I87" s="4" t="inlineStr">
        <is>
          <t>no</t>
        </is>
      </c>
      <c r="J87" s="4" t="inlineStr">
        <is>
          <t>unknown</t>
        </is>
      </c>
      <c r="K87" s="4" t="n">
        <v>27.03151510509944</v>
      </c>
      <c r="L87" s="4" t="n">
        <v>0.8615451095836644</v>
      </c>
      <c r="M87" s="4" t="inlineStr">
        <is>
          <t>no</t>
        </is>
      </c>
      <c r="N87" s="4" t="inlineStr">
        <is>
          <t>no</t>
        </is>
      </c>
      <c r="O87" s="4" t="inlineStr">
        <is>
          <t>no</t>
        </is>
      </c>
      <c r="P87" s="4" t="b">
        <v>0</v>
      </c>
      <c r="Q87" s="4" t="n">
        <v>89</v>
      </c>
      <c r="R87" s="4" t="inlineStr">
        <is>
          <t>no</t>
        </is>
      </c>
      <c r="S87" s="4" t="inlineStr">
        <is>
          <t>observed_synthetic_follow_up</t>
        </is>
      </c>
      <c r="T87" s="4" t="inlineStr">
        <is>
          <t>moderate</t>
        </is>
      </c>
      <c r="U87" s="4" t="inlineStr">
        <is>
          <t>baseline_predictors_only</t>
        </is>
      </c>
      <c r="V87" s="4" t="inlineStr">
        <is>
          <t>research_only_not_clinically_validated</t>
        </is>
      </c>
      <c r="W87" s="4" t="inlineStr">
        <is>
          <t>not_defined_pending_clinical_review</t>
        </is>
      </c>
      <c r="X87" s="4" t="inlineStr">
        <is>
          <t>no</t>
        </is>
      </c>
      <c r="Y87" s="4" t="b">
        <v>0</v>
      </c>
      <c r="Z87" s="4" t="n">
        <v>181</v>
      </c>
      <c r="AA87" s="4" t="inlineStr">
        <is>
          <t>yes</t>
        </is>
      </c>
      <c r="AB87" s="4" t="inlineStr">
        <is>
          <t>observed_synthetic_follow_up</t>
        </is>
      </c>
      <c r="AC87" s="4" t="inlineStr">
        <is>
          <t>moderate</t>
        </is>
      </c>
      <c r="AD87" s="4" t="inlineStr">
        <is>
          <t>baseline_predictors_only</t>
        </is>
      </c>
      <c r="AE87" s="4" t="inlineStr">
        <is>
          <t>research_only_not_clinically_validated</t>
        </is>
      </c>
      <c r="AF87" s="4" t="inlineStr">
        <is>
          <t>not_defined_pending_clinical_review</t>
        </is>
      </c>
    </row>
    <row r="88">
      <c r="A88" s="4" t="inlineStr">
        <is>
          <t>SYN-20260820-0081</t>
        </is>
      </c>
      <c r="B88" s="4" t="inlineStr">
        <is>
          <t>2026-02-04</t>
        </is>
      </c>
      <c r="C88" s="4" t="n">
        <v>60</v>
      </c>
      <c r="D88" s="4" t="inlineStr">
        <is>
          <t>female</t>
        </is>
      </c>
      <c r="E88" s="4" t="inlineStr">
        <is>
          <t>lung</t>
        </is>
      </c>
      <c r="F88" s="4" t="inlineStr">
        <is>
          <t>I</t>
        </is>
      </c>
      <c r="G88" s="4" t="n">
        <v>163.4</v>
      </c>
      <c r="H88" s="4" t="n">
        <v>1</v>
      </c>
      <c r="I88" s="4" t="inlineStr">
        <is>
          <t>no</t>
        </is>
      </c>
      <c r="J88" s="4" t="inlineStr">
        <is>
          <t>no</t>
        </is>
      </c>
      <c r="K88" s="4" t="n">
        <v>40.41190191898293</v>
      </c>
      <c r="L88" s="4" t="n">
        <v>0.9046407611840227</v>
      </c>
      <c r="M88" s="4" t="inlineStr">
        <is>
          <t>no</t>
        </is>
      </c>
      <c r="N88" s="4" t="inlineStr">
        <is>
          <t>no</t>
        </is>
      </c>
      <c r="O88" s="4" t="inlineStr">
        <is>
          <t>no</t>
        </is>
      </c>
      <c r="P88" s="4" t="b">
        <v>0</v>
      </c>
      <c r="Q88" s="4" t="n">
        <v>89</v>
      </c>
      <c r="R88" s="4" t="inlineStr">
        <is>
          <t>no</t>
        </is>
      </c>
      <c r="S88" s="4" t="inlineStr">
        <is>
          <t>observed_synthetic_follow_up</t>
        </is>
      </c>
      <c r="T88" s="4" t="inlineStr">
        <is>
          <t>low</t>
        </is>
      </c>
      <c r="U88" s="4" t="inlineStr">
        <is>
          <t>baseline_predictors_only</t>
        </is>
      </c>
      <c r="V88" s="4" t="inlineStr">
        <is>
          <t>research_only_not_clinically_validated</t>
        </is>
      </c>
      <c r="W88" s="4" t="inlineStr">
        <is>
          <t>not_defined_pending_clinical_review</t>
        </is>
      </c>
      <c r="X88" s="4" t="inlineStr">
        <is>
          <t>no</t>
        </is>
      </c>
      <c r="Y88" s="4" t="b">
        <v>0</v>
      </c>
      <c r="Z88" s="4" t="n">
        <v>181</v>
      </c>
      <c r="AA88" s="4" t="inlineStr">
        <is>
          <t>no</t>
        </is>
      </c>
      <c r="AB88" s="4" t="inlineStr">
        <is>
          <t>observed_synthetic_follow_up</t>
        </is>
      </c>
      <c r="AC88" s="4" t="inlineStr">
        <is>
          <t>moderate</t>
        </is>
      </c>
      <c r="AD88" s="4" t="inlineStr">
        <is>
          <t>baseline_predictors_only</t>
        </is>
      </c>
      <c r="AE88" s="4" t="inlineStr">
        <is>
          <t>research_only_not_clinically_validated</t>
        </is>
      </c>
      <c r="AF88" s="4" t="inlineStr">
        <is>
          <t>not_defined_pending_clinical_review</t>
        </is>
      </c>
    </row>
    <row r="89">
      <c r="A89" s="4" t="inlineStr">
        <is>
          <t>SYN-20260820-0082</t>
        </is>
      </c>
      <c r="B89" s="4" t="inlineStr">
        <is>
          <t>2026-02-05</t>
        </is>
      </c>
      <c r="C89" s="4" t="n">
        <v>87</v>
      </c>
      <c r="D89" s="4" t="inlineStr">
        <is>
          <t>male</t>
        </is>
      </c>
      <c r="E89" s="4" t="inlineStr">
        <is>
          <t>lung</t>
        </is>
      </c>
      <c r="F89" s="4" t="inlineStr">
        <is>
          <t>IV</t>
        </is>
      </c>
      <c r="G89" s="4" t="n">
        <v>182.5</v>
      </c>
      <c r="H89" s="4" t="n">
        <v>1</v>
      </c>
      <c r="I89" s="4" t="inlineStr">
        <is>
          <t>yes</t>
        </is>
      </c>
      <c r="J89" s="4" t="inlineStr">
        <is>
          <t>no</t>
        </is>
      </c>
      <c r="K89" s="4" t="n">
        <v>24.52482642146744</v>
      </c>
      <c r="M89" s="4" t="inlineStr">
        <is>
          <t>unknown</t>
        </is>
      </c>
      <c r="N89" s="4" t="inlineStr">
        <is>
          <t>unknown</t>
        </is>
      </c>
      <c r="O89" s="4" t="inlineStr">
        <is>
          <t>unknown</t>
        </is>
      </c>
      <c r="P89" s="4" t="b">
        <v>0</v>
      </c>
      <c r="Q89" s="4" t="n">
        <v>89</v>
      </c>
      <c r="R89" s="4" t="inlineStr">
        <is>
          <t>unknown</t>
        </is>
      </c>
      <c r="S89" s="4" t="inlineStr">
        <is>
          <t>observed_synthetic_follow_up</t>
        </is>
      </c>
      <c r="T89" s="4" t="inlineStr">
        <is>
          <t>withheld</t>
        </is>
      </c>
      <c r="U89" s="4" t="inlineStr">
        <is>
          <t>baseline_predictors_only</t>
        </is>
      </c>
      <c r="V89" s="4" t="inlineStr">
        <is>
          <t>withheld_missing_required_baseline_predictors</t>
        </is>
      </c>
      <c r="W89" s="4" t="inlineStr">
        <is>
          <t>not_defined_pending_clinical_review</t>
        </is>
      </c>
      <c r="X89" s="4" t="inlineStr">
        <is>
          <t>yes</t>
        </is>
      </c>
      <c r="Y89" s="4" t="b">
        <v>0</v>
      </c>
      <c r="Z89" s="4" t="n">
        <v>181</v>
      </c>
      <c r="AA89" s="4" t="inlineStr">
        <is>
          <t>no</t>
        </is>
      </c>
      <c r="AB89" s="4" t="inlineStr">
        <is>
          <t>observed_synthetic_follow_up</t>
        </is>
      </c>
      <c r="AC89" s="4" t="inlineStr">
        <is>
          <t>withheld</t>
        </is>
      </c>
      <c r="AD89" s="4" t="inlineStr">
        <is>
          <t>baseline_predictors_only</t>
        </is>
      </c>
      <c r="AE89" s="4" t="inlineStr">
        <is>
          <t>withheld_missing_required_baseline_predictors</t>
        </is>
      </c>
      <c r="AF89" s="4" t="inlineStr">
        <is>
          <t>not_defined_pending_clinical_review</t>
        </is>
      </c>
    </row>
    <row r="90">
      <c r="A90" s="4" t="inlineStr">
        <is>
          <t>SYN-20260820-0083</t>
        </is>
      </c>
      <c r="B90" s="4" t="inlineStr">
        <is>
          <t>2026-02-06</t>
        </is>
      </c>
      <c r="C90" s="4" t="n">
        <v>53</v>
      </c>
      <c r="D90" s="4" t="inlineStr">
        <is>
          <t>female</t>
        </is>
      </c>
      <c r="E90" s="4" t="inlineStr">
        <is>
          <t>hepatobiliary</t>
        </is>
      </c>
      <c r="F90" s="4" t="inlineStr">
        <is>
          <t>I</t>
        </is>
      </c>
      <c r="G90" s="4" t="n">
        <v>155.2</v>
      </c>
      <c r="H90" s="4" t="n">
        <v>1</v>
      </c>
      <c r="I90" s="4" t="inlineStr">
        <is>
          <t>unknown</t>
        </is>
      </c>
      <c r="J90" s="4" t="inlineStr">
        <is>
          <t>no</t>
        </is>
      </c>
      <c r="K90" s="4" t="n">
        <v>20.04189804973961</v>
      </c>
      <c r="L90" s="4" t="n">
        <v>0.8156640368178798</v>
      </c>
      <c r="M90" s="4" t="inlineStr">
        <is>
          <t>no</t>
        </is>
      </c>
      <c r="N90" s="4" t="inlineStr">
        <is>
          <t>no</t>
        </is>
      </c>
      <c r="O90" s="4" t="inlineStr">
        <is>
          <t>no</t>
        </is>
      </c>
      <c r="P90" s="4" t="b">
        <v>0</v>
      </c>
      <c r="Q90" s="4" t="n">
        <v>89</v>
      </c>
      <c r="R90" s="4" t="inlineStr">
        <is>
          <t>unknown</t>
        </is>
      </c>
      <c r="S90" s="4" t="inlineStr">
        <is>
          <t>observed_synthetic_follow_up</t>
        </is>
      </c>
      <c r="T90" s="4" t="inlineStr">
        <is>
          <t>withheld</t>
        </is>
      </c>
      <c r="U90" s="4" t="inlineStr">
        <is>
          <t>baseline_predictors_only</t>
        </is>
      </c>
      <c r="V90" s="4" t="inlineStr">
        <is>
          <t>withheld_missing_required_baseline_predictors</t>
        </is>
      </c>
      <c r="W90" s="4" t="inlineStr">
        <is>
          <t>not_defined_pending_clinical_review</t>
        </is>
      </c>
      <c r="X90" s="4" t="inlineStr">
        <is>
          <t>yes</t>
        </is>
      </c>
      <c r="Y90" s="4" t="b">
        <v>0</v>
      </c>
      <c r="Z90" s="4" t="n">
        <v>181</v>
      </c>
      <c r="AA90" s="4" t="inlineStr">
        <is>
          <t>no</t>
        </is>
      </c>
      <c r="AB90" s="4" t="inlineStr">
        <is>
          <t>observed_synthetic_follow_up</t>
        </is>
      </c>
      <c r="AC90" s="4" t="inlineStr">
        <is>
          <t>withheld</t>
        </is>
      </c>
      <c r="AD90" s="4" t="inlineStr">
        <is>
          <t>baseline_predictors_only</t>
        </is>
      </c>
      <c r="AE90" s="4" t="inlineStr">
        <is>
          <t>withheld_missing_required_baseline_predictors</t>
        </is>
      </c>
      <c r="AF90" s="4" t="inlineStr">
        <is>
          <t>not_defined_pending_clinical_review</t>
        </is>
      </c>
    </row>
    <row r="91">
      <c r="A91" s="4" t="inlineStr">
        <is>
          <t>SYN-20260820-0084</t>
        </is>
      </c>
      <c r="B91" s="4" t="inlineStr">
        <is>
          <t>2026-02-07</t>
        </is>
      </c>
      <c r="C91" s="4" t="n">
        <v>45</v>
      </c>
      <c r="D91" s="4" t="inlineStr">
        <is>
          <t>male</t>
        </is>
      </c>
      <c r="E91" s="4" t="inlineStr">
        <is>
          <t>pancreatic</t>
        </is>
      </c>
      <c r="F91" s="4" t="inlineStr">
        <is>
          <t>IV</t>
        </is>
      </c>
      <c r="G91" s="4" t="n">
        <v>176.3</v>
      </c>
      <c r="H91" s="4" t="n">
        <v>2</v>
      </c>
      <c r="I91" s="4" t="inlineStr">
        <is>
          <t>yes</t>
        </is>
      </c>
      <c r="J91" s="4" t="inlineStr">
        <is>
          <t>no</t>
        </is>
      </c>
      <c r="K91" s="4" t="n">
        <v>27.5355040218212</v>
      </c>
      <c r="L91" s="4" t="n">
        <v>3.960096056736327</v>
      </c>
      <c r="M91" s="4" t="inlineStr">
        <is>
          <t>unknown</t>
        </is>
      </c>
      <c r="N91" s="4" t="inlineStr">
        <is>
          <t>unknown</t>
        </is>
      </c>
      <c r="O91" s="4" t="inlineStr">
        <is>
          <t>no</t>
        </is>
      </c>
      <c r="P91" s="4" t="b">
        <v>0</v>
      </c>
      <c r="Q91" s="4" t="n">
        <v>89</v>
      </c>
      <c r="R91" s="4" t="inlineStr">
        <is>
          <t>yes</t>
        </is>
      </c>
      <c r="S91" s="4" t="inlineStr">
        <is>
          <t>observed_synthetic_follow_up</t>
        </is>
      </c>
      <c r="T91" s="4" t="inlineStr">
        <is>
          <t>high</t>
        </is>
      </c>
      <c r="U91" s="4" t="inlineStr">
        <is>
          <t>baseline_predictors_only</t>
        </is>
      </c>
      <c r="V91" s="4" t="inlineStr">
        <is>
          <t>research_only_not_clinically_validated</t>
        </is>
      </c>
      <c r="W91" s="4" t="inlineStr">
        <is>
          <t>not_defined_pending_clinical_review</t>
        </is>
      </c>
      <c r="X91" s="4" t="inlineStr">
        <is>
          <t>unknown</t>
        </is>
      </c>
      <c r="Y91" s="4" t="b">
        <v>0</v>
      </c>
      <c r="Z91" s="4" t="n">
        <v>181</v>
      </c>
      <c r="AA91" s="4" t="inlineStr">
        <is>
          <t>unknown</t>
        </is>
      </c>
      <c r="AB91" s="4" t="inlineStr">
        <is>
          <t>observed_synthetic_follow_up</t>
        </is>
      </c>
      <c r="AC91" s="4" t="inlineStr">
        <is>
          <t>high</t>
        </is>
      </c>
      <c r="AD91" s="4" t="inlineStr">
        <is>
          <t>baseline_predictors_only</t>
        </is>
      </c>
      <c r="AE91" s="4" t="inlineStr">
        <is>
          <t>research_only_not_clinically_validated</t>
        </is>
      </c>
      <c r="AF91" s="4" t="inlineStr">
        <is>
          <t>not_defined_pending_clinical_review</t>
        </is>
      </c>
    </row>
    <row r="92">
      <c r="A92" s="4" t="inlineStr">
        <is>
          <t>SYN-20260820-0085</t>
        </is>
      </c>
      <c r="B92" s="4" t="inlineStr">
        <is>
          <t>2026-02-08</t>
        </is>
      </c>
      <c r="C92" s="4" t="n">
        <v>80</v>
      </c>
      <c r="D92" s="4" t="inlineStr">
        <is>
          <t>female</t>
        </is>
      </c>
      <c r="E92" s="4" t="inlineStr">
        <is>
          <t>colorectal</t>
        </is>
      </c>
      <c r="F92" s="4" t="inlineStr">
        <is>
          <t>IV</t>
        </is>
      </c>
      <c r="G92" s="4" t="n">
        <v>159.4</v>
      </c>
      <c r="H92" s="4" t="n">
        <v>1</v>
      </c>
      <c r="I92" s="4" t="inlineStr">
        <is>
          <t>no</t>
        </is>
      </c>
      <c r="J92" s="4" t="inlineStr">
        <is>
          <t>unknown</t>
        </is>
      </c>
      <c r="K92" s="4" t="n">
        <v>36.86227682542281</v>
      </c>
      <c r="L92" s="4" t="n">
        <v>0.7439356527452478</v>
      </c>
      <c r="M92" s="4" t="inlineStr">
        <is>
          <t>no</t>
        </is>
      </c>
      <c r="N92" s="4" t="inlineStr">
        <is>
          <t>no</t>
        </is>
      </c>
      <c r="O92" s="4" t="inlineStr">
        <is>
          <t>no</t>
        </is>
      </c>
      <c r="P92" s="4" t="b">
        <v>0</v>
      </c>
      <c r="Q92" s="4" t="n">
        <v>89</v>
      </c>
      <c r="R92" s="4" t="inlineStr">
        <is>
          <t>no</t>
        </is>
      </c>
      <c r="S92" s="4" t="inlineStr">
        <is>
          <t>observed_synthetic_follow_up</t>
        </is>
      </c>
      <c r="T92" s="4" t="inlineStr">
        <is>
          <t>moderate</t>
        </is>
      </c>
      <c r="U92" s="4" t="inlineStr">
        <is>
          <t>baseline_predictors_only</t>
        </is>
      </c>
      <c r="V92" s="4" t="inlineStr">
        <is>
          <t>research_only_not_clinically_validated</t>
        </is>
      </c>
      <c r="W92" s="4" t="inlineStr">
        <is>
          <t>not_defined_pending_clinical_review</t>
        </is>
      </c>
      <c r="X92" s="4" t="inlineStr">
        <is>
          <t>unknown</t>
        </is>
      </c>
      <c r="Y92" s="4" t="b">
        <v>0</v>
      </c>
      <c r="Z92" s="4" t="n">
        <v>181</v>
      </c>
      <c r="AA92" s="4" t="inlineStr">
        <is>
          <t>unknown</t>
        </is>
      </c>
      <c r="AB92" s="4" t="inlineStr">
        <is>
          <t>observed_synthetic_follow_up</t>
        </is>
      </c>
      <c r="AC92" s="4" t="inlineStr">
        <is>
          <t>moderate</t>
        </is>
      </c>
      <c r="AD92" s="4" t="inlineStr">
        <is>
          <t>baseline_predictors_only</t>
        </is>
      </c>
      <c r="AE92" s="4" t="inlineStr">
        <is>
          <t>research_only_not_clinically_validated</t>
        </is>
      </c>
      <c r="AF92" s="4" t="inlineStr">
        <is>
          <t>not_defined_pending_clinical_review</t>
        </is>
      </c>
    </row>
    <row r="93">
      <c r="A93" s="4" t="inlineStr">
        <is>
          <t>SYN-20260820-0086</t>
        </is>
      </c>
      <c r="B93" s="4" t="inlineStr">
        <is>
          <t>2026-02-09</t>
        </is>
      </c>
      <c r="C93" s="4" t="n">
        <v>54</v>
      </c>
      <c r="D93" s="4" t="inlineStr">
        <is>
          <t>female</t>
        </is>
      </c>
      <c r="E93" s="4" t="inlineStr">
        <is>
          <t>lung</t>
        </is>
      </c>
      <c r="F93" s="4" t="inlineStr">
        <is>
          <t>IV</t>
        </is>
      </c>
      <c r="G93" s="4" t="n">
        <v>176.2</v>
      </c>
      <c r="H93" s="4" t="n">
        <v>1</v>
      </c>
      <c r="I93" s="4" t="inlineStr">
        <is>
          <t>yes</t>
        </is>
      </c>
      <c r="J93" s="4" t="inlineStr">
        <is>
          <t>no</t>
        </is>
      </c>
      <c r="K93" s="4" t="n">
        <v>24.92395263353866</v>
      </c>
      <c r="L93" s="4" t="n">
        <v>2.526893910765123</v>
      </c>
      <c r="M93" s="4" t="inlineStr">
        <is>
          <t>unknown</t>
        </is>
      </c>
      <c r="N93" s="4" t="inlineStr">
        <is>
          <t>unknown</t>
        </is>
      </c>
      <c r="O93" s="4" t="inlineStr">
        <is>
          <t>unknown</t>
        </is>
      </c>
      <c r="P93" s="4" t="b">
        <v>0</v>
      </c>
      <c r="Q93" s="4" t="n">
        <v>89</v>
      </c>
      <c r="R93" s="4" t="inlineStr">
        <is>
          <t>unknown</t>
        </is>
      </c>
      <c r="S93" s="4" t="inlineStr">
        <is>
          <t>observed_synthetic_follow_up</t>
        </is>
      </c>
      <c r="T93" s="4" t="inlineStr">
        <is>
          <t>high</t>
        </is>
      </c>
      <c r="U93" s="4" t="inlineStr">
        <is>
          <t>baseline_predictors_only</t>
        </is>
      </c>
      <c r="V93" s="4" t="inlineStr">
        <is>
          <t>research_only_not_clinically_validated</t>
        </is>
      </c>
      <c r="W93" s="4" t="inlineStr">
        <is>
          <t>not_defined_pending_clinical_review</t>
        </is>
      </c>
      <c r="X93" s="4" t="inlineStr">
        <is>
          <t>yes</t>
        </is>
      </c>
      <c r="Y93" s="4" t="b">
        <v>0</v>
      </c>
      <c r="Z93" s="4" t="n">
        <v>181</v>
      </c>
      <c r="AA93" s="4" t="inlineStr">
        <is>
          <t>no</t>
        </is>
      </c>
      <c r="AB93" s="4" t="inlineStr">
        <is>
          <t>observed_synthetic_follow_up</t>
        </is>
      </c>
      <c r="AC93" s="4" t="inlineStr">
        <is>
          <t>high</t>
        </is>
      </c>
      <c r="AD93" s="4" t="inlineStr">
        <is>
          <t>baseline_predictors_only</t>
        </is>
      </c>
      <c r="AE93" s="4" t="inlineStr">
        <is>
          <t>research_only_not_clinically_validated</t>
        </is>
      </c>
      <c r="AF93" s="4" t="inlineStr">
        <is>
          <t>not_defined_pending_clinical_review</t>
        </is>
      </c>
    </row>
    <row r="94">
      <c r="A94" s="4" t="inlineStr">
        <is>
          <t>SYN-20260820-0087</t>
        </is>
      </c>
      <c r="B94" s="4" t="inlineStr">
        <is>
          <t>2026-02-10</t>
        </is>
      </c>
      <c r="C94" s="4" t="n">
        <v>69</v>
      </c>
      <c r="D94" s="4" t="inlineStr">
        <is>
          <t>female</t>
        </is>
      </c>
      <c r="E94" s="4" t="inlineStr">
        <is>
          <t>gastric</t>
        </is>
      </c>
      <c r="F94" s="4" t="inlineStr">
        <is>
          <t>II</t>
        </is>
      </c>
      <c r="G94" s="4" t="n">
        <v>150.9</v>
      </c>
      <c r="H94" s="4" t="n">
        <v>1</v>
      </c>
      <c r="I94" s="4" t="inlineStr">
        <is>
          <t>yes</t>
        </is>
      </c>
      <c r="J94" s="4" t="inlineStr">
        <is>
          <t>no</t>
        </is>
      </c>
      <c r="K94" s="4" t="n">
        <v>30.38231841555043</v>
      </c>
      <c r="L94" s="4" t="n">
        <v>1.667235203820552</v>
      </c>
      <c r="M94" s="4" t="inlineStr">
        <is>
          <t>no</t>
        </is>
      </c>
      <c r="N94" s="4" t="inlineStr">
        <is>
          <t>yes</t>
        </is>
      </c>
      <c r="O94" s="4" t="inlineStr">
        <is>
          <t>no</t>
        </is>
      </c>
      <c r="P94" s="4" t="b">
        <v>0</v>
      </c>
      <c r="Q94" s="4" t="n">
        <v>89</v>
      </c>
      <c r="R94" s="4" t="inlineStr">
        <is>
          <t>yes</t>
        </is>
      </c>
      <c r="S94" s="4" t="inlineStr">
        <is>
          <t>observed_synthetic_follow_up</t>
        </is>
      </c>
      <c r="T94" s="4" t="inlineStr">
        <is>
          <t>moderate</t>
        </is>
      </c>
      <c r="U94" s="4" t="inlineStr">
        <is>
          <t>baseline_predictors_only</t>
        </is>
      </c>
      <c r="V94" s="4" t="inlineStr">
        <is>
          <t>research_only_not_clinically_validated</t>
        </is>
      </c>
      <c r="W94" s="4" t="inlineStr">
        <is>
          <t>not_defined_pending_clinical_review</t>
        </is>
      </c>
      <c r="X94" s="4" t="inlineStr">
        <is>
          <t>unknown</t>
        </is>
      </c>
      <c r="Y94" s="4" t="b">
        <v>0</v>
      </c>
      <c r="Z94" s="4" t="n">
        <v>181</v>
      </c>
      <c r="AA94" s="4" t="inlineStr">
        <is>
          <t>unknown</t>
        </is>
      </c>
      <c r="AB94" s="4" t="inlineStr">
        <is>
          <t>observed_synthetic_follow_up</t>
        </is>
      </c>
      <c r="AC94" s="4" t="inlineStr">
        <is>
          <t>high</t>
        </is>
      </c>
      <c r="AD94" s="4" t="inlineStr">
        <is>
          <t>baseline_predictors_only</t>
        </is>
      </c>
      <c r="AE94" s="4" t="inlineStr">
        <is>
          <t>research_only_not_clinically_validated</t>
        </is>
      </c>
      <c r="AF94" s="4" t="inlineStr">
        <is>
          <t>not_defined_pending_clinical_review</t>
        </is>
      </c>
    </row>
    <row r="95">
      <c r="A95" s="4" t="inlineStr">
        <is>
          <t>SYN-20260820-0088</t>
        </is>
      </c>
      <c r="B95" s="4" t="inlineStr">
        <is>
          <t>2026-02-11</t>
        </is>
      </c>
      <c r="C95" s="4" t="n">
        <v>57</v>
      </c>
      <c r="D95" s="4" t="inlineStr">
        <is>
          <t>male</t>
        </is>
      </c>
      <c r="E95" s="4" t="inlineStr">
        <is>
          <t>head and neck</t>
        </is>
      </c>
      <c r="F95" s="4" t="inlineStr">
        <is>
          <t>III</t>
        </is>
      </c>
      <c r="G95" s="4" t="n">
        <v>171.5</v>
      </c>
      <c r="H95" s="4" t="n">
        <v>2</v>
      </c>
      <c r="I95" s="4" t="inlineStr">
        <is>
          <t>no</t>
        </is>
      </c>
      <c r="J95" s="4" t="inlineStr">
        <is>
          <t>yes</t>
        </is>
      </c>
      <c r="K95" s="4" t="n">
        <v>17.36929340665879</v>
      </c>
      <c r="L95" s="4" t="n">
        <v>1.545606968721694</v>
      </c>
      <c r="M95" s="4" t="inlineStr">
        <is>
          <t>no</t>
        </is>
      </c>
      <c r="N95" s="4" t="inlineStr">
        <is>
          <t>no</t>
        </is>
      </c>
      <c r="O95" s="4" t="inlineStr">
        <is>
          <t>no</t>
        </is>
      </c>
      <c r="P95" s="4" t="b">
        <v>0</v>
      </c>
      <c r="Q95" s="4" t="n">
        <v>89</v>
      </c>
      <c r="R95" s="4" t="inlineStr">
        <is>
          <t>yes</t>
        </is>
      </c>
      <c r="S95" s="4" t="inlineStr">
        <is>
          <t>observed_synthetic_follow_up</t>
        </is>
      </c>
      <c r="T95" s="4" t="inlineStr">
        <is>
          <t>moderate</t>
        </is>
      </c>
      <c r="U95" s="4" t="inlineStr">
        <is>
          <t>baseline_predictors_only</t>
        </is>
      </c>
      <c r="V95" s="4" t="inlineStr">
        <is>
          <t>research_only_not_clinically_validated</t>
        </is>
      </c>
      <c r="W95" s="4" t="inlineStr">
        <is>
          <t>not_defined_pending_clinical_review</t>
        </is>
      </c>
      <c r="X95" s="4" t="inlineStr">
        <is>
          <t>yes</t>
        </is>
      </c>
      <c r="Y95" s="4" t="b">
        <v>0</v>
      </c>
      <c r="Z95" s="4" t="n">
        <v>181</v>
      </c>
      <c r="AA95" s="4" t="inlineStr">
        <is>
          <t>no</t>
        </is>
      </c>
      <c r="AB95" s="4" t="inlineStr">
        <is>
          <t>observed_synthetic_follow_up</t>
        </is>
      </c>
      <c r="AC95" s="4" t="inlineStr">
        <is>
          <t>high</t>
        </is>
      </c>
      <c r="AD95" s="4" t="inlineStr">
        <is>
          <t>baseline_predictors_only</t>
        </is>
      </c>
      <c r="AE95" s="4" t="inlineStr">
        <is>
          <t>research_only_not_clinically_validated</t>
        </is>
      </c>
      <c r="AF95" s="4" t="inlineStr">
        <is>
          <t>not_defined_pending_clinical_review</t>
        </is>
      </c>
    </row>
    <row r="96">
      <c r="A96" s="4" t="inlineStr">
        <is>
          <t>SYN-20260820-0089</t>
        </is>
      </c>
      <c r="B96" s="4" t="inlineStr">
        <is>
          <t>2026-02-12</t>
        </is>
      </c>
      <c r="C96" s="4" t="n">
        <v>50</v>
      </c>
      <c r="D96" s="4" t="inlineStr">
        <is>
          <t>female</t>
        </is>
      </c>
      <c r="E96" s="4" t="inlineStr">
        <is>
          <t>lung</t>
        </is>
      </c>
      <c r="F96" s="4" t="inlineStr">
        <is>
          <t>IV</t>
        </is>
      </c>
      <c r="G96" s="4" t="n">
        <v>162.8</v>
      </c>
      <c r="H96" s="4" t="n">
        <v>3</v>
      </c>
      <c r="I96" s="4" t="inlineStr">
        <is>
          <t>yes</t>
        </is>
      </c>
      <c r="J96" s="4" t="inlineStr">
        <is>
          <t>yes</t>
        </is>
      </c>
      <c r="K96" s="4" t="n">
        <v>21.39123991089593</v>
      </c>
      <c r="L96" s="4" t="n">
        <v>3.83669454008854</v>
      </c>
      <c r="M96" s="4" t="inlineStr">
        <is>
          <t>unknown</t>
        </is>
      </c>
      <c r="N96" s="4" t="inlineStr">
        <is>
          <t>unknown</t>
        </is>
      </c>
      <c r="O96" s="4" t="inlineStr">
        <is>
          <t>unknown</t>
        </is>
      </c>
      <c r="P96" s="4" t="b">
        <v>0</v>
      </c>
      <c r="Q96" s="4" t="n">
        <v>89</v>
      </c>
      <c r="R96" s="4" t="inlineStr">
        <is>
          <t>unknown</t>
        </is>
      </c>
      <c r="S96" s="4" t="inlineStr">
        <is>
          <t>observed_synthetic_follow_up</t>
        </is>
      </c>
      <c r="T96" s="4" t="inlineStr">
        <is>
          <t>high</t>
        </is>
      </c>
      <c r="U96" s="4" t="inlineStr">
        <is>
          <t>baseline_predictors_only</t>
        </is>
      </c>
      <c r="V96" s="4" t="inlineStr">
        <is>
          <t>research_only_not_clinically_validated</t>
        </is>
      </c>
      <c r="W96" s="4" t="inlineStr">
        <is>
          <t>not_defined_pending_clinical_review</t>
        </is>
      </c>
      <c r="X96" s="4" t="inlineStr">
        <is>
          <t>yes</t>
        </is>
      </c>
      <c r="Y96" s="4" t="b">
        <v>0</v>
      </c>
      <c r="Z96" s="4" t="n">
        <v>181</v>
      </c>
      <c r="AA96" s="4" t="inlineStr">
        <is>
          <t>no</t>
        </is>
      </c>
      <c r="AB96" s="4" t="inlineStr">
        <is>
          <t>observed_synthetic_follow_up</t>
        </is>
      </c>
      <c r="AC96" s="4" t="inlineStr">
        <is>
          <t>high</t>
        </is>
      </c>
      <c r="AD96" s="4" t="inlineStr">
        <is>
          <t>baseline_predictors_only</t>
        </is>
      </c>
      <c r="AE96" s="4" t="inlineStr">
        <is>
          <t>research_only_not_clinically_validated</t>
        </is>
      </c>
      <c r="AF96" s="4" t="inlineStr">
        <is>
          <t>not_defined_pending_clinical_review</t>
        </is>
      </c>
    </row>
    <row r="97">
      <c r="A97" s="4" t="inlineStr">
        <is>
          <t>SYN-20260820-0090</t>
        </is>
      </c>
      <c r="B97" s="4" t="inlineStr">
        <is>
          <t>2026-02-13</t>
        </is>
      </c>
      <c r="C97" s="4" t="n">
        <v>48</v>
      </c>
      <c r="D97" s="4" t="inlineStr">
        <is>
          <t>male</t>
        </is>
      </c>
      <c r="E97" s="4" t="inlineStr">
        <is>
          <t>head and neck</t>
        </is>
      </c>
      <c r="F97" s="4" t="inlineStr">
        <is>
          <t>IV</t>
        </is>
      </c>
      <c r="G97" s="4" t="n">
        <v>185.2</v>
      </c>
      <c r="H97" s="4" t="n">
        <v>0</v>
      </c>
      <c r="I97" s="4" t="inlineStr">
        <is>
          <t>yes</t>
        </is>
      </c>
      <c r="J97" s="4" t="inlineStr">
        <is>
          <t>no</t>
        </is>
      </c>
      <c r="K97" s="4" t="n">
        <v>19.87635805550243</v>
      </c>
      <c r="L97" s="4" t="n">
        <v>1.813258825054369</v>
      </c>
      <c r="M97" s="4" t="inlineStr">
        <is>
          <t>no</t>
        </is>
      </c>
      <c r="N97" s="4" t="inlineStr">
        <is>
          <t>yes</t>
        </is>
      </c>
      <c r="O97" s="4" t="inlineStr">
        <is>
          <t>no</t>
        </is>
      </c>
      <c r="P97" s="4" t="b">
        <v>0</v>
      </c>
      <c r="Q97" s="4" t="n">
        <v>89</v>
      </c>
      <c r="R97" s="4" t="inlineStr">
        <is>
          <t>no</t>
        </is>
      </c>
      <c r="S97" s="4" t="inlineStr">
        <is>
          <t>observed_synthetic_follow_up</t>
        </is>
      </c>
      <c r="T97" s="4" t="inlineStr">
        <is>
          <t>high</t>
        </is>
      </c>
      <c r="U97" s="4" t="inlineStr">
        <is>
          <t>baseline_predictors_only</t>
        </is>
      </c>
      <c r="V97" s="4" t="inlineStr">
        <is>
          <t>research_only_not_clinically_validated</t>
        </is>
      </c>
      <c r="W97" s="4" t="inlineStr">
        <is>
          <t>not_defined_pending_clinical_review</t>
        </is>
      </c>
      <c r="X97" s="4" t="inlineStr">
        <is>
          <t>yes</t>
        </is>
      </c>
      <c r="Y97" s="4" t="b">
        <v>0</v>
      </c>
      <c r="Z97" s="4" t="n">
        <v>181</v>
      </c>
      <c r="AA97" s="4" t="inlineStr">
        <is>
          <t>no</t>
        </is>
      </c>
      <c r="AB97" s="4" t="inlineStr">
        <is>
          <t>observed_synthetic_follow_up</t>
        </is>
      </c>
      <c r="AC97" s="4" t="inlineStr">
        <is>
          <t>high</t>
        </is>
      </c>
      <c r="AD97" s="4" t="inlineStr">
        <is>
          <t>baseline_predictors_only</t>
        </is>
      </c>
      <c r="AE97" s="4" t="inlineStr">
        <is>
          <t>research_only_not_clinically_validated</t>
        </is>
      </c>
      <c r="AF97" s="4" t="inlineStr">
        <is>
          <t>not_defined_pending_clinical_review</t>
        </is>
      </c>
    </row>
    <row r="98">
      <c r="A98" s="4" t="inlineStr">
        <is>
          <t>SYN-20260820-0091</t>
        </is>
      </c>
      <c r="B98" s="4" t="inlineStr">
        <is>
          <t>2026-02-14</t>
        </is>
      </c>
      <c r="C98" s="4" t="n">
        <v>27</v>
      </c>
      <c r="D98" s="4" t="inlineStr">
        <is>
          <t>female</t>
        </is>
      </c>
      <c r="E98" s="4" t="inlineStr">
        <is>
          <t>pancreatic</t>
        </is>
      </c>
      <c r="F98" s="4" t="inlineStr">
        <is>
          <t>I</t>
        </is>
      </c>
      <c r="G98" s="4" t="n">
        <v>162.1</v>
      </c>
      <c r="H98" s="4" t="n">
        <v>2</v>
      </c>
      <c r="I98" s="4" t="inlineStr">
        <is>
          <t>no</t>
        </is>
      </c>
      <c r="J98" s="4" t="inlineStr">
        <is>
          <t>unknown</t>
        </is>
      </c>
      <c r="K98" s="4" t="n">
        <v>24.79562466866668</v>
      </c>
      <c r="L98" s="4" t="n">
        <v>1.511624391571182</v>
      </c>
      <c r="M98" s="4" t="inlineStr">
        <is>
          <t>no</t>
        </is>
      </c>
      <c r="N98" s="4" t="inlineStr">
        <is>
          <t>no</t>
        </is>
      </c>
      <c r="O98" s="4" t="inlineStr">
        <is>
          <t>no</t>
        </is>
      </c>
      <c r="P98" s="4" t="b">
        <v>0</v>
      </c>
      <c r="Q98" s="4" t="n">
        <v>89</v>
      </c>
      <c r="R98" s="4" t="inlineStr">
        <is>
          <t>no</t>
        </is>
      </c>
      <c r="S98" s="4" t="inlineStr">
        <is>
          <t>observed_synthetic_follow_up</t>
        </is>
      </c>
      <c r="T98" s="4" t="inlineStr">
        <is>
          <t>moderate</t>
        </is>
      </c>
      <c r="U98" s="4" t="inlineStr">
        <is>
          <t>baseline_predictors_only</t>
        </is>
      </c>
      <c r="V98" s="4" t="inlineStr">
        <is>
          <t>research_only_not_clinically_validated</t>
        </is>
      </c>
      <c r="W98" s="4" t="inlineStr">
        <is>
          <t>not_defined_pending_clinical_review</t>
        </is>
      </c>
      <c r="X98" s="4" t="inlineStr">
        <is>
          <t>no</t>
        </is>
      </c>
      <c r="Y98" s="4" t="b">
        <v>0</v>
      </c>
      <c r="Z98" s="4" t="n">
        <v>181</v>
      </c>
      <c r="AA98" s="4" t="inlineStr">
        <is>
          <t>yes</t>
        </is>
      </c>
      <c r="AB98" s="4" t="inlineStr">
        <is>
          <t>observed_synthetic_follow_up</t>
        </is>
      </c>
      <c r="AC98" s="4" t="inlineStr">
        <is>
          <t>moderate</t>
        </is>
      </c>
      <c r="AD98" s="4" t="inlineStr">
        <is>
          <t>baseline_predictors_only</t>
        </is>
      </c>
      <c r="AE98" s="4" t="inlineStr">
        <is>
          <t>research_only_not_clinically_validated</t>
        </is>
      </c>
      <c r="AF98" s="4" t="inlineStr">
        <is>
          <t>not_defined_pending_clinical_review</t>
        </is>
      </c>
    </row>
    <row r="99">
      <c r="A99" s="4" t="inlineStr">
        <is>
          <t>SYN-20260820-0092</t>
        </is>
      </c>
      <c r="B99" s="4" t="inlineStr">
        <is>
          <t>2026-02-15</t>
        </is>
      </c>
      <c r="C99" s="4" t="n">
        <v>81</v>
      </c>
      <c r="D99" s="4" t="inlineStr">
        <is>
          <t>female</t>
        </is>
      </c>
      <c r="E99" s="4" t="inlineStr">
        <is>
          <t>head and neck</t>
        </is>
      </c>
      <c r="F99" s="4" t="inlineStr">
        <is>
          <t>IV</t>
        </is>
      </c>
      <c r="G99" s="4" t="n">
        <v>161.6</v>
      </c>
      <c r="H99" s="4" t="n">
        <v>3</v>
      </c>
      <c r="I99" s="4" t="inlineStr">
        <is>
          <t>no</t>
        </is>
      </c>
      <c r="J99" s="4" t="inlineStr">
        <is>
          <t>unknown</t>
        </is>
      </c>
      <c r="K99" s="4" t="n">
        <v>28.51129791196942</v>
      </c>
      <c r="L99" s="4" t="n">
        <v>3.959961819260627</v>
      </c>
      <c r="M99" s="4" t="inlineStr">
        <is>
          <t>unknown</t>
        </is>
      </c>
      <c r="N99" s="4" t="inlineStr">
        <is>
          <t>unknown</t>
        </is>
      </c>
      <c r="O99" s="4" t="inlineStr">
        <is>
          <t>unknown</t>
        </is>
      </c>
      <c r="P99" s="4" t="b">
        <v>0</v>
      </c>
      <c r="Q99" s="4" t="n">
        <v>89</v>
      </c>
      <c r="R99" s="4" t="inlineStr">
        <is>
          <t>unknown</t>
        </is>
      </c>
      <c r="S99" s="4" t="inlineStr">
        <is>
          <t>observed_synthetic_follow_up</t>
        </is>
      </c>
      <c r="T99" s="4" t="inlineStr">
        <is>
          <t>high</t>
        </is>
      </c>
      <c r="U99" s="4" t="inlineStr">
        <is>
          <t>baseline_predictors_only</t>
        </is>
      </c>
      <c r="V99" s="4" t="inlineStr">
        <is>
          <t>research_only_not_clinically_validated</t>
        </is>
      </c>
      <c r="W99" s="4" t="inlineStr">
        <is>
          <t>not_defined_pending_clinical_review</t>
        </is>
      </c>
      <c r="X99" s="4" t="inlineStr">
        <is>
          <t>yes</t>
        </is>
      </c>
      <c r="Y99" s="4" t="b">
        <v>0</v>
      </c>
      <c r="Z99" s="4" t="n">
        <v>181</v>
      </c>
      <c r="AA99" s="4" t="inlineStr">
        <is>
          <t>no</t>
        </is>
      </c>
      <c r="AB99" s="4" t="inlineStr">
        <is>
          <t>observed_synthetic_follow_up</t>
        </is>
      </c>
      <c r="AC99" s="4" t="inlineStr">
        <is>
          <t>high</t>
        </is>
      </c>
      <c r="AD99" s="4" t="inlineStr">
        <is>
          <t>baseline_predictors_only</t>
        </is>
      </c>
      <c r="AE99" s="4" t="inlineStr">
        <is>
          <t>research_only_not_clinically_validated</t>
        </is>
      </c>
      <c r="AF99" s="4" t="inlineStr">
        <is>
          <t>not_defined_pending_clinical_review</t>
        </is>
      </c>
    </row>
    <row r="100">
      <c r="A100" s="4" t="inlineStr">
        <is>
          <t>SYN-20260820-0093</t>
        </is>
      </c>
      <c r="B100" s="4" t="inlineStr">
        <is>
          <t>2026-02-16</t>
        </is>
      </c>
      <c r="C100" s="4" t="n">
        <v>55</v>
      </c>
      <c r="D100" s="4" t="inlineStr">
        <is>
          <t>male</t>
        </is>
      </c>
      <c r="E100" s="4" t="inlineStr">
        <is>
          <t>oesophageal</t>
        </is>
      </c>
      <c r="F100" s="4" t="inlineStr">
        <is>
          <t>I</t>
        </is>
      </c>
      <c r="G100" s="4" t="n">
        <v>188.5</v>
      </c>
      <c r="H100" s="4" t="n">
        <v>2</v>
      </c>
      <c r="I100" s="4" t="inlineStr">
        <is>
          <t>no</t>
        </is>
      </c>
      <c r="J100" s="4" t="inlineStr">
        <is>
          <t>yes</t>
        </is>
      </c>
      <c r="K100" s="4" t="n">
        <v>37.26614554383693</v>
      </c>
      <c r="L100" s="4" t="n">
        <v>2.618844501970941</v>
      </c>
      <c r="M100" s="4" t="inlineStr">
        <is>
          <t>unknown</t>
        </is>
      </c>
      <c r="N100" s="4" t="inlineStr">
        <is>
          <t>unknown</t>
        </is>
      </c>
      <c r="O100" s="4" t="inlineStr">
        <is>
          <t>unknown</t>
        </is>
      </c>
      <c r="P100" s="4" t="b">
        <v>0</v>
      </c>
      <c r="Q100" s="4" t="n">
        <v>89</v>
      </c>
      <c r="R100" s="4" t="inlineStr">
        <is>
          <t>unknown</t>
        </is>
      </c>
      <c r="S100" s="4" t="inlineStr">
        <is>
          <t>observed_synthetic_follow_up</t>
        </is>
      </c>
      <c r="T100" s="4" t="inlineStr">
        <is>
          <t>moderate</t>
        </is>
      </c>
      <c r="U100" s="4" t="inlineStr">
        <is>
          <t>baseline_predictors_only</t>
        </is>
      </c>
      <c r="V100" s="4" t="inlineStr">
        <is>
          <t>research_only_not_clinically_validated</t>
        </is>
      </c>
      <c r="W100" s="4" t="inlineStr">
        <is>
          <t>not_defined_pending_clinical_review</t>
        </is>
      </c>
      <c r="X100" s="4" t="inlineStr">
        <is>
          <t>yes</t>
        </is>
      </c>
      <c r="Y100" s="4" t="b">
        <v>0</v>
      </c>
      <c r="Z100" s="4" t="n">
        <v>181</v>
      </c>
      <c r="AA100" s="4" t="inlineStr">
        <is>
          <t>no</t>
        </is>
      </c>
      <c r="AB100" s="4" t="inlineStr">
        <is>
          <t>observed_synthetic_follow_up</t>
        </is>
      </c>
      <c r="AC100" s="4" t="inlineStr">
        <is>
          <t>moderate</t>
        </is>
      </c>
      <c r="AD100" s="4" t="inlineStr">
        <is>
          <t>baseline_predictors_only</t>
        </is>
      </c>
      <c r="AE100" s="4" t="inlineStr">
        <is>
          <t>research_only_not_clinically_validated</t>
        </is>
      </c>
      <c r="AF100" s="4" t="inlineStr">
        <is>
          <t>not_defined_pending_clinical_review</t>
        </is>
      </c>
    </row>
    <row r="101">
      <c r="A101" s="4" t="inlineStr">
        <is>
          <t>SYN-20260820-0094</t>
        </is>
      </c>
      <c r="B101" s="4" t="inlineStr">
        <is>
          <t>2026-02-17</t>
        </is>
      </c>
      <c r="C101" s="4" t="n">
        <v>49</v>
      </c>
      <c r="D101" s="4" t="inlineStr">
        <is>
          <t>male</t>
        </is>
      </c>
      <c r="E101" s="4" t="inlineStr">
        <is>
          <t>hepatobiliary</t>
        </is>
      </c>
      <c r="F101" s="4" t="inlineStr">
        <is>
          <t>II</t>
        </is>
      </c>
      <c r="G101" s="4" t="n">
        <v>171.1</v>
      </c>
      <c r="H101" s="4" t="n">
        <v>2</v>
      </c>
      <c r="I101" s="4" t="inlineStr">
        <is>
          <t>unknown</t>
        </is>
      </c>
      <c r="J101" s="4" t="inlineStr">
        <is>
          <t>unknown</t>
        </is>
      </c>
      <c r="K101" s="4" t="n">
        <v>36.92270695923275</v>
      </c>
      <c r="M101" s="4" t="inlineStr">
        <is>
          <t>unknown</t>
        </is>
      </c>
      <c r="N101" s="4" t="inlineStr">
        <is>
          <t>unknown</t>
        </is>
      </c>
      <c r="O101" s="4" t="inlineStr">
        <is>
          <t>yes</t>
        </is>
      </c>
      <c r="P101" s="4" t="b">
        <v>0</v>
      </c>
      <c r="Q101" s="4" t="n">
        <v>89</v>
      </c>
      <c r="R101" s="4" t="inlineStr">
        <is>
          <t>no</t>
        </is>
      </c>
      <c r="S101" s="4" t="inlineStr">
        <is>
          <t>observed_synthetic_follow_up</t>
        </is>
      </c>
      <c r="T101" s="4" t="inlineStr">
        <is>
          <t>withheld</t>
        </is>
      </c>
      <c r="U101" s="4" t="inlineStr">
        <is>
          <t>baseline_predictors_only</t>
        </is>
      </c>
      <c r="V101" s="4" t="inlineStr">
        <is>
          <t>withheld_missing_required_baseline_predictors</t>
        </is>
      </c>
      <c r="W101" s="4" t="inlineStr">
        <is>
          <t>not_defined_pending_clinical_review</t>
        </is>
      </c>
      <c r="X101" s="4" t="inlineStr">
        <is>
          <t>yes</t>
        </is>
      </c>
      <c r="Y101" s="4" t="b">
        <v>0</v>
      </c>
      <c r="Z101" s="4" t="n">
        <v>181</v>
      </c>
      <c r="AA101" s="4" t="inlineStr">
        <is>
          <t>no</t>
        </is>
      </c>
      <c r="AB101" s="4" t="inlineStr">
        <is>
          <t>observed_synthetic_follow_up</t>
        </is>
      </c>
      <c r="AC101" s="4" t="inlineStr">
        <is>
          <t>withheld</t>
        </is>
      </c>
      <c r="AD101" s="4" t="inlineStr">
        <is>
          <t>baseline_predictors_only</t>
        </is>
      </c>
      <c r="AE101" s="4" t="inlineStr">
        <is>
          <t>withheld_missing_required_baseline_predictors</t>
        </is>
      </c>
      <c r="AF101" s="4" t="inlineStr">
        <is>
          <t>not_defined_pending_clinical_review</t>
        </is>
      </c>
    </row>
    <row r="102">
      <c r="A102" s="4" t="inlineStr">
        <is>
          <t>SYN-20260820-0095</t>
        </is>
      </c>
      <c r="B102" s="4" t="inlineStr">
        <is>
          <t>2026-02-18</t>
        </is>
      </c>
      <c r="C102" s="4" t="n">
        <v>54</v>
      </c>
      <c r="D102" s="4" t="inlineStr">
        <is>
          <t>male</t>
        </is>
      </c>
      <c r="E102" s="4" t="inlineStr">
        <is>
          <t>gastric</t>
        </is>
      </c>
      <c r="F102" s="4" t="inlineStr">
        <is>
          <t>II</t>
        </is>
      </c>
      <c r="G102" s="4" t="n">
        <v>173.4</v>
      </c>
      <c r="H102" s="4" t="n">
        <v>0</v>
      </c>
      <c r="I102" s="4" t="inlineStr">
        <is>
          <t>no</t>
        </is>
      </c>
      <c r="J102" s="4" t="inlineStr">
        <is>
          <t>no</t>
        </is>
      </c>
      <c r="K102" s="4" t="n">
        <v>21.40479639851056</v>
      </c>
      <c r="M102" s="4" t="inlineStr">
        <is>
          <t>unknown</t>
        </is>
      </c>
      <c r="N102" s="4" t="inlineStr">
        <is>
          <t>unknown</t>
        </is>
      </c>
      <c r="O102" s="4" t="inlineStr">
        <is>
          <t>no</t>
        </is>
      </c>
      <c r="P102" s="4" t="b">
        <v>0</v>
      </c>
      <c r="Q102" s="4" t="n">
        <v>89</v>
      </c>
      <c r="R102" s="4" t="inlineStr">
        <is>
          <t>no</t>
        </is>
      </c>
      <c r="S102" s="4" t="inlineStr">
        <is>
          <t>observed_synthetic_follow_up</t>
        </is>
      </c>
      <c r="T102" s="4" t="inlineStr">
        <is>
          <t>withheld</t>
        </is>
      </c>
      <c r="U102" s="4" t="inlineStr">
        <is>
          <t>baseline_predictors_only</t>
        </is>
      </c>
      <c r="V102" s="4" t="inlineStr">
        <is>
          <t>withheld_missing_required_baseline_predictors</t>
        </is>
      </c>
      <c r="W102" s="4" t="inlineStr">
        <is>
          <t>not_defined_pending_clinical_review</t>
        </is>
      </c>
      <c r="X102" s="4" t="inlineStr">
        <is>
          <t>no</t>
        </is>
      </c>
      <c r="Y102" s="4" t="b">
        <v>0</v>
      </c>
      <c r="Z102" s="4" t="n">
        <v>181</v>
      </c>
      <c r="AA102" s="4" t="inlineStr">
        <is>
          <t>yes</t>
        </is>
      </c>
      <c r="AB102" s="4" t="inlineStr">
        <is>
          <t>observed_synthetic_follow_up</t>
        </is>
      </c>
      <c r="AC102" s="4" t="inlineStr">
        <is>
          <t>withheld</t>
        </is>
      </c>
      <c r="AD102" s="4" t="inlineStr">
        <is>
          <t>baseline_predictors_only</t>
        </is>
      </c>
      <c r="AE102" s="4" t="inlineStr">
        <is>
          <t>withheld_missing_required_baseline_predictors</t>
        </is>
      </c>
      <c r="AF102" s="4" t="inlineStr">
        <is>
          <t>not_defined_pending_clinical_review</t>
        </is>
      </c>
    </row>
    <row r="103">
      <c r="A103" s="4" t="inlineStr">
        <is>
          <t>SYN-20260820-0096</t>
        </is>
      </c>
      <c r="B103" s="4" t="inlineStr">
        <is>
          <t>2026-02-19</t>
        </is>
      </c>
      <c r="C103" s="4" t="n">
        <v>43</v>
      </c>
      <c r="D103" s="4" t="inlineStr">
        <is>
          <t>female</t>
        </is>
      </c>
      <c r="E103" s="4" t="inlineStr">
        <is>
          <t>colorectal</t>
        </is>
      </c>
      <c r="F103" s="4" t="inlineStr">
        <is>
          <t>III</t>
        </is>
      </c>
      <c r="G103" s="4" t="n">
        <v>160.3</v>
      </c>
      <c r="H103" s="4" t="n">
        <v>1</v>
      </c>
      <c r="I103" s="4" t="inlineStr">
        <is>
          <t>no</t>
        </is>
      </c>
      <c r="J103" s="4" t="inlineStr">
        <is>
          <t>no</t>
        </is>
      </c>
      <c r="K103" s="4" t="n">
        <v>20.57978470654484</v>
      </c>
      <c r="L103" s="4" t="n">
        <v>1.227142830460045</v>
      </c>
      <c r="M103" s="4" t="inlineStr">
        <is>
          <t>no</t>
        </is>
      </c>
      <c r="N103" s="4" t="inlineStr">
        <is>
          <t>no</t>
        </is>
      </c>
      <c r="O103" s="4" t="inlineStr">
        <is>
          <t>no</t>
        </is>
      </c>
      <c r="P103" s="4" t="b">
        <v>0</v>
      </c>
      <c r="Q103" s="4" t="n">
        <v>89</v>
      </c>
      <c r="R103" s="4" t="inlineStr">
        <is>
          <t>yes</t>
        </is>
      </c>
      <c r="S103" s="4" t="inlineStr">
        <is>
          <t>observed_synthetic_follow_up</t>
        </is>
      </c>
      <c r="T103" s="4" t="inlineStr">
        <is>
          <t>low</t>
        </is>
      </c>
      <c r="U103" s="4" t="inlineStr">
        <is>
          <t>baseline_predictors_only</t>
        </is>
      </c>
      <c r="V103" s="4" t="inlineStr">
        <is>
          <t>research_only_not_clinically_validated</t>
        </is>
      </c>
      <c r="W103" s="4" t="inlineStr">
        <is>
          <t>not_defined_pending_clinical_review</t>
        </is>
      </c>
      <c r="X103" s="4" t="inlineStr">
        <is>
          <t>unknown</t>
        </is>
      </c>
      <c r="Y103" s="4" t="b">
        <v>0</v>
      </c>
      <c r="Z103" s="4" t="n">
        <v>181</v>
      </c>
      <c r="AA103" s="4" t="inlineStr">
        <is>
          <t>unknown</t>
        </is>
      </c>
      <c r="AB103" s="4" t="inlineStr">
        <is>
          <t>observed_synthetic_follow_up</t>
        </is>
      </c>
      <c r="AC103" s="4" t="inlineStr">
        <is>
          <t>moderate</t>
        </is>
      </c>
      <c r="AD103" s="4" t="inlineStr">
        <is>
          <t>baseline_predictors_only</t>
        </is>
      </c>
      <c r="AE103" s="4" t="inlineStr">
        <is>
          <t>research_only_not_clinically_validated</t>
        </is>
      </c>
      <c r="AF103" s="4" t="inlineStr">
        <is>
          <t>not_defined_pending_clinical_review</t>
        </is>
      </c>
    </row>
    <row r="104">
      <c r="A104" s="4" t="inlineStr">
        <is>
          <t>SYN-20260820-0097</t>
        </is>
      </c>
      <c r="B104" s="4" t="inlineStr">
        <is>
          <t>2026-02-20</t>
        </is>
      </c>
      <c r="C104" s="4" t="n">
        <v>80</v>
      </c>
      <c r="D104" s="4" t="inlineStr">
        <is>
          <t>male</t>
        </is>
      </c>
      <c r="E104" s="4" t="inlineStr">
        <is>
          <t>breast</t>
        </is>
      </c>
      <c r="F104" s="4" t="inlineStr">
        <is>
          <t>IV</t>
        </is>
      </c>
      <c r="G104" s="4" t="n">
        <v>174.1</v>
      </c>
      <c r="H104" s="4" t="n">
        <v>2</v>
      </c>
      <c r="I104" s="4" t="inlineStr">
        <is>
          <t>yes</t>
        </is>
      </c>
      <c r="J104" s="4" t="inlineStr">
        <is>
          <t>yes</t>
        </is>
      </c>
      <c r="K104" s="4" t="n">
        <v>20.80346912537145</v>
      </c>
      <c r="M104" s="4" t="inlineStr">
        <is>
          <t>unknown</t>
        </is>
      </c>
      <c r="N104" s="4" t="inlineStr">
        <is>
          <t>unknown</t>
        </is>
      </c>
      <c r="O104" s="4" t="inlineStr">
        <is>
          <t>no</t>
        </is>
      </c>
      <c r="P104" s="4" t="b">
        <v>0</v>
      </c>
      <c r="Q104" s="4" t="n">
        <v>89</v>
      </c>
      <c r="R104" s="4" t="inlineStr">
        <is>
          <t>yes</t>
        </is>
      </c>
      <c r="S104" s="4" t="inlineStr">
        <is>
          <t>observed_synthetic_follow_up</t>
        </is>
      </c>
      <c r="T104" s="4" t="inlineStr">
        <is>
          <t>withheld</t>
        </is>
      </c>
      <c r="U104" s="4" t="inlineStr">
        <is>
          <t>baseline_predictors_only</t>
        </is>
      </c>
      <c r="V104" s="4" t="inlineStr">
        <is>
          <t>withheld_missing_required_baseline_predictors</t>
        </is>
      </c>
      <c r="W104" s="4" t="inlineStr">
        <is>
          <t>not_defined_pending_clinical_review</t>
        </is>
      </c>
      <c r="X104" s="4" t="inlineStr">
        <is>
          <t>yes</t>
        </is>
      </c>
      <c r="Y104" s="4" t="b">
        <v>0</v>
      </c>
      <c r="Z104" s="4" t="n">
        <v>181</v>
      </c>
      <c r="AA104" s="4" t="inlineStr">
        <is>
          <t>no</t>
        </is>
      </c>
      <c r="AB104" s="4" t="inlineStr">
        <is>
          <t>observed_synthetic_follow_up</t>
        </is>
      </c>
      <c r="AC104" s="4" t="inlineStr">
        <is>
          <t>withheld</t>
        </is>
      </c>
      <c r="AD104" s="4" t="inlineStr">
        <is>
          <t>baseline_predictors_only</t>
        </is>
      </c>
      <c r="AE104" s="4" t="inlineStr">
        <is>
          <t>withheld_missing_required_baseline_predictors</t>
        </is>
      </c>
      <c r="AF104" s="4" t="inlineStr">
        <is>
          <t>not_defined_pending_clinical_review</t>
        </is>
      </c>
    </row>
    <row r="105">
      <c r="A105" s="4" t="inlineStr">
        <is>
          <t>SYN-20260820-0098</t>
        </is>
      </c>
      <c r="B105" s="4" t="inlineStr">
        <is>
          <t>2026-02-21</t>
        </is>
      </c>
      <c r="C105" s="4" t="n">
        <v>52</v>
      </c>
      <c r="D105" s="4" t="inlineStr">
        <is>
          <t>male</t>
        </is>
      </c>
      <c r="E105" s="4" t="inlineStr">
        <is>
          <t>head and neck</t>
        </is>
      </c>
      <c r="F105" s="4" t="inlineStr">
        <is>
          <t>IV</t>
        </is>
      </c>
      <c r="G105" s="4" t="n">
        <v>170</v>
      </c>
      <c r="H105" s="4" t="n">
        <v>1</v>
      </c>
      <c r="I105" s="4" t="inlineStr">
        <is>
          <t>yes</t>
        </is>
      </c>
      <c r="J105" s="4" t="inlineStr">
        <is>
          <t>no</t>
        </is>
      </c>
      <c r="K105" s="4" t="n">
        <v>22.16712802768166</v>
      </c>
      <c r="L105" s="4" t="n">
        <v>2.421823831355769</v>
      </c>
      <c r="M105" s="4" t="inlineStr">
        <is>
          <t>unknown</t>
        </is>
      </c>
      <c r="N105" s="4" t="inlineStr">
        <is>
          <t>unknown</t>
        </is>
      </c>
      <c r="O105" s="4" t="inlineStr">
        <is>
          <t>unknown</t>
        </is>
      </c>
      <c r="P105" s="4" t="b">
        <v>0</v>
      </c>
      <c r="Q105" s="4" t="n">
        <v>89</v>
      </c>
      <c r="R105" s="4" t="inlineStr">
        <is>
          <t>unknown</t>
        </is>
      </c>
      <c r="S105" s="4" t="inlineStr">
        <is>
          <t>observed_synthetic_follow_up</t>
        </is>
      </c>
      <c r="T105" s="4" t="inlineStr">
        <is>
          <t>high</t>
        </is>
      </c>
      <c r="U105" s="4" t="inlineStr">
        <is>
          <t>baseline_predictors_only</t>
        </is>
      </c>
      <c r="V105" s="4" t="inlineStr">
        <is>
          <t>research_only_not_clinically_validated</t>
        </is>
      </c>
      <c r="W105" s="4" t="inlineStr">
        <is>
          <t>not_defined_pending_clinical_review</t>
        </is>
      </c>
      <c r="X105" s="4" t="inlineStr">
        <is>
          <t>unknown</t>
        </is>
      </c>
      <c r="Y105" s="4" t="b">
        <v>0</v>
      </c>
      <c r="Z105" s="4" t="n">
        <v>181</v>
      </c>
      <c r="AA105" s="4" t="inlineStr">
        <is>
          <t>unknown</t>
        </is>
      </c>
      <c r="AB105" s="4" t="inlineStr">
        <is>
          <t>observed_synthetic_follow_up</t>
        </is>
      </c>
      <c r="AC105" s="4" t="inlineStr">
        <is>
          <t>high</t>
        </is>
      </c>
      <c r="AD105" s="4" t="inlineStr">
        <is>
          <t>baseline_predictors_only</t>
        </is>
      </c>
      <c r="AE105" s="4" t="inlineStr">
        <is>
          <t>research_only_not_clinically_validated</t>
        </is>
      </c>
      <c r="AF105" s="4" t="inlineStr">
        <is>
          <t>not_defined_pending_clinical_review</t>
        </is>
      </c>
    </row>
    <row r="106">
      <c r="A106" s="4" t="inlineStr">
        <is>
          <t>SYN-20260820-0099</t>
        </is>
      </c>
      <c r="B106" s="4" t="inlineStr">
        <is>
          <t>2026-02-22</t>
        </is>
      </c>
      <c r="C106" s="4" t="n">
        <v>49</v>
      </c>
      <c r="D106" s="4" t="inlineStr">
        <is>
          <t>female</t>
        </is>
      </c>
      <c r="E106" s="4" t="inlineStr">
        <is>
          <t>oesophageal</t>
        </is>
      </c>
      <c r="F106" s="4" t="inlineStr">
        <is>
          <t>IV</t>
        </is>
      </c>
      <c r="G106" s="4" t="n">
        <v>164.7</v>
      </c>
      <c r="H106" s="4" t="inlineStr">
        <is>
          <t>unknown</t>
        </is>
      </c>
      <c r="I106" s="4" t="inlineStr">
        <is>
          <t>no</t>
        </is>
      </c>
      <c r="J106" s="4" t="inlineStr">
        <is>
          <t>unknown</t>
        </is>
      </c>
      <c r="K106" s="4" t="n">
        <v>21.70567155089437</v>
      </c>
      <c r="L106" s="4" t="n">
        <v>3.935324925356086</v>
      </c>
      <c r="M106" s="4" t="inlineStr">
        <is>
          <t>unknown</t>
        </is>
      </c>
      <c r="N106" s="4" t="inlineStr">
        <is>
          <t>unknown</t>
        </is>
      </c>
      <c r="O106" s="4" t="inlineStr">
        <is>
          <t>unknown</t>
        </is>
      </c>
      <c r="P106" s="4" t="b">
        <v>0</v>
      </c>
      <c r="Q106" s="4" t="n">
        <v>89</v>
      </c>
      <c r="R106" s="4" t="inlineStr">
        <is>
          <t>unknown</t>
        </is>
      </c>
      <c r="S106" s="4" t="inlineStr">
        <is>
          <t>observed_synthetic_follow_up</t>
        </is>
      </c>
      <c r="T106" s="4" t="inlineStr">
        <is>
          <t>withheld</t>
        </is>
      </c>
      <c r="U106" s="4" t="inlineStr">
        <is>
          <t>baseline_predictors_only</t>
        </is>
      </c>
      <c r="V106" s="4" t="inlineStr">
        <is>
          <t>withheld_missing_required_baseline_predictors</t>
        </is>
      </c>
      <c r="W106" s="4" t="inlineStr">
        <is>
          <t>not_defined_pending_clinical_review</t>
        </is>
      </c>
      <c r="X106" s="4" t="inlineStr">
        <is>
          <t>yes</t>
        </is>
      </c>
      <c r="Y106" s="4" t="b">
        <v>0</v>
      </c>
      <c r="Z106" s="4" t="n">
        <v>181</v>
      </c>
      <c r="AA106" s="4" t="inlineStr">
        <is>
          <t>no</t>
        </is>
      </c>
      <c r="AB106" s="4" t="inlineStr">
        <is>
          <t>observed_synthetic_follow_up</t>
        </is>
      </c>
      <c r="AC106" s="4" t="inlineStr">
        <is>
          <t>withheld</t>
        </is>
      </c>
      <c r="AD106" s="4" t="inlineStr">
        <is>
          <t>baseline_predictors_only</t>
        </is>
      </c>
      <c r="AE106" s="4" t="inlineStr">
        <is>
          <t>withheld_missing_required_baseline_predictors</t>
        </is>
      </c>
      <c r="AF106" s="4" t="inlineStr">
        <is>
          <t>not_defined_pending_clinical_review</t>
        </is>
      </c>
    </row>
    <row r="107">
      <c r="A107" s="4" t="inlineStr">
        <is>
          <t>SYN-20260820-0100</t>
        </is>
      </c>
      <c r="B107" s="4" t="inlineStr">
        <is>
          <t>2026-02-23</t>
        </is>
      </c>
      <c r="C107" s="4" t="n">
        <v>58</v>
      </c>
      <c r="D107" s="4" t="inlineStr">
        <is>
          <t>female</t>
        </is>
      </c>
      <c r="E107" s="4" t="inlineStr">
        <is>
          <t>lung</t>
        </is>
      </c>
      <c r="F107" s="4" t="inlineStr">
        <is>
          <t>IV</t>
        </is>
      </c>
      <c r="G107" s="4" t="n">
        <v>167.6</v>
      </c>
      <c r="H107" s="4" t="n">
        <v>2</v>
      </c>
      <c r="I107" s="4" t="inlineStr">
        <is>
          <t>no</t>
        </is>
      </c>
      <c r="J107" s="4" t="inlineStr">
        <is>
          <t>yes</t>
        </is>
      </c>
      <c r="K107" s="4" t="n">
        <v>27.09991114199623</v>
      </c>
      <c r="L107" s="4" t="n">
        <v>2.35383155032196</v>
      </c>
      <c r="M107" s="4" t="inlineStr">
        <is>
          <t>unknown</t>
        </is>
      </c>
      <c r="N107" s="4" t="inlineStr">
        <is>
          <t>unknown</t>
        </is>
      </c>
      <c r="O107" s="4" t="inlineStr">
        <is>
          <t>unknown</t>
        </is>
      </c>
      <c r="P107" s="4" t="b">
        <v>0</v>
      </c>
      <c r="Q107" s="4" t="n">
        <v>89</v>
      </c>
      <c r="R107" s="4" t="inlineStr">
        <is>
          <t>unknown</t>
        </is>
      </c>
      <c r="S107" s="4" t="inlineStr">
        <is>
          <t>observed_synthetic_follow_up</t>
        </is>
      </c>
      <c r="T107" s="4" t="inlineStr">
        <is>
          <t>high</t>
        </is>
      </c>
      <c r="U107" s="4" t="inlineStr">
        <is>
          <t>baseline_predictors_only</t>
        </is>
      </c>
      <c r="V107" s="4" t="inlineStr">
        <is>
          <t>research_only_not_clinically_validated</t>
        </is>
      </c>
      <c r="W107" s="4" t="inlineStr">
        <is>
          <t>not_defined_pending_clinical_review</t>
        </is>
      </c>
      <c r="X107" s="4" t="inlineStr">
        <is>
          <t>yes</t>
        </is>
      </c>
      <c r="Y107" s="4" t="b">
        <v>0</v>
      </c>
      <c r="Z107" s="4" t="n">
        <v>181</v>
      </c>
      <c r="AA107" s="4" t="inlineStr">
        <is>
          <t>no</t>
        </is>
      </c>
      <c r="AB107" s="4" t="inlineStr">
        <is>
          <t>observed_synthetic_follow_up</t>
        </is>
      </c>
      <c r="AC107" s="4" t="inlineStr">
        <is>
          <t>high</t>
        </is>
      </c>
      <c r="AD107" s="4" t="inlineStr">
        <is>
          <t>baseline_predictors_only</t>
        </is>
      </c>
      <c r="AE107" s="4" t="inlineStr">
        <is>
          <t>research_only_not_clinically_validated</t>
        </is>
      </c>
      <c r="AF107" s="4" t="inlineStr">
        <is>
          <t>not_defined_pending_clinical_review</t>
        </is>
      </c>
    </row>
    <row r="108">
      <c r="A108" s="4" t="inlineStr">
        <is>
          <t>SYN-20260820-0101</t>
        </is>
      </c>
      <c r="B108" s="4" t="inlineStr">
        <is>
          <t>2026-02-24</t>
        </is>
      </c>
      <c r="C108" s="4" t="n">
        <v>50</v>
      </c>
      <c r="D108" s="4" t="inlineStr">
        <is>
          <t>female</t>
        </is>
      </c>
      <c r="E108" s="4" t="inlineStr">
        <is>
          <t>pancreatic</t>
        </is>
      </c>
      <c r="F108" s="4" t="inlineStr">
        <is>
          <t>III</t>
        </is>
      </c>
      <c r="G108" s="4" t="n">
        <v>161</v>
      </c>
      <c r="H108" s="4" t="n">
        <v>0</v>
      </c>
      <c r="I108" s="4" t="inlineStr">
        <is>
          <t>unknown</t>
        </is>
      </c>
      <c r="J108" s="4" t="inlineStr">
        <is>
          <t>no</t>
        </is>
      </c>
      <c r="K108" s="4" t="n">
        <v>31.15736275606651</v>
      </c>
      <c r="L108" s="4" t="n">
        <v>1.664434433215622</v>
      </c>
      <c r="M108" s="4" t="inlineStr">
        <is>
          <t>no</t>
        </is>
      </c>
      <c r="N108" s="4" t="inlineStr">
        <is>
          <t>unknown</t>
        </is>
      </c>
      <c r="O108" s="4" t="inlineStr">
        <is>
          <t>no</t>
        </is>
      </c>
      <c r="P108" s="4" t="b">
        <v>0</v>
      </c>
      <c r="Q108" s="4" t="n">
        <v>89</v>
      </c>
      <c r="R108" s="4" t="inlineStr">
        <is>
          <t>no</t>
        </is>
      </c>
      <c r="S108" s="4" t="inlineStr">
        <is>
          <t>observed_synthetic_follow_up</t>
        </is>
      </c>
      <c r="T108" s="4" t="inlineStr">
        <is>
          <t>withheld</t>
        </is>
      </c>
      <c r="U108" s="4" t="inlineStr">
        <is>
          <t>baseline_predictors_only</t>
        </is>
      </c>
      <c r="V108" s="4" t="inlineStr">
        <is>
          <t>withheld_missing_required_baseline_predictors</t>
        </is>
      </c>
      <c r="W108" s="4" t="inlineStr">
        <is>
          <t>not_defined_pending_clinical_review</t>
        </is>
      </c>
      <c r="X108" s="4" t="inlineStr">
        <is>
          <t>no</t>
        </is>
      </c>
      <c r="Y108" s="4" t="b">
        <v>0</v>
      </c>
      <c r="Z108" s="4" t="n">
        <v>181</v>
      </c>
      <c r="AA108" s="4" t="inlineStr">
        <is>
          <t>no</t>
        </is>
      </c>
      <c r="AB108" s="4" t="inlineStr">
        <is>
          <t>observed_synthetic_follow_up</t>
        </is>
      </c>
      <c r="AC108" s="4" t="inlineStr">
        <is>
          <t>withheld</t>
        </is>
      </c>
      <c r="AD108" s="4" t="inlineStr">
        <is>
          <t>baseline_predictors_only</t>
        </is>
      </c>
      <c r="AE108" s="4" t="inlineStr">
        <is>
          <t>withheld_missing_required_baseline_predictors</t>
        </is>
      </c>
      <c r="AF108" s="4" t="inlineStr">
        <is>
          <t>not_defined_pending_clinical_review</t>
        </is>
      </c>
    </row>
    <row r="109">
      <c r="A109" s="4" t="inlineStr">
        <is>
          <t>SYN-20260820-0102</t>
        </is>
      </c>
      <c r="B109" s="4" t="inlineStr">
        <is>
          <t>2026-02-25</t>
        </is>
      </c>
      <c r="C109" s="4" t="n">
        <v>32</v>
      </c>
      <c r="D109" s="4" t="inlineStr">
        <is>
          <t>male</t>
        </is>
      </c>
      <c r="E109" s="4" t="inlineStr">
        <is>
          <t>oesophageal</t>
        </is>
      </c>
      <c r="F109" s="4" t="inlineStr">
        <is>
          <t>III</t>
        </is>
      </c>
      <c r="G109" s="4" t="n">
        <v>178.3</v>
      </c>
      <c r="H109" s="4" t="n">
        <v>1</v>
      </c>
      <c r="I109" s="4" t="inlineStr">
        <is>
          <t>no</t>
        </is>
      </c>
      <c r="J109" s="4" t="inlineStr">
        <is>
          <t>no</t>
        </is>
      </c>
      <c r="K109" s="4" t="n">
        <v>22.66152347417766</v>
      </c>
      <c r="L109" s="4" t="n">
        <v>2.220442731307422</v>
      </c>
      <c r="M109" s="4" t="inlineStr">
        <is>
          <t>unknown</t>
        </is>
      </c>
      <c r="N109" s="4" t="inlineStr">
        <is>
          <t>unknown</t>
        </is>
      </c>
      <c r="O109" s="4" t="inlineStr">
        <is>
          <t>no</t>
        </is>
      </c>
      <c r="P109" s="4" t="b">
        <v>0</v>
      </c>
      <c r="Q109" s="4" t="n">
        <v>89</v>
      </c>
      <c r="R109" s="4" t="inlineStr">
        <is>
          <t>no</t>
        </is>
      </c>
      <c r="S109" s="4" t="inlineStr">
        <is>
          <t>observed_synthetic_follow_up</t>
        </is>
      </c>
      <c r="T109" s="4" t="inlineStr">
        <is>
          <t>moderate</t>
        </is>
      </c>
      <c r="U109" s="4" t="inlineStr">
        <is>
          <t>baseline_predictors_only</t>
        </is>
      </c>
      <c r="V109" s="4" t="inlineStr">
        <is>
          <t>research_only_not_clinically_validated</t>
        </is>
      </c>
      <c r="W109" s="4" t="inlineStr">
        <is>
          <t>not_defined_pending_clinical_review</t>
        </is>
      </c>
      <c r="X109" s="4" t="inlineStr">
        <is>
          <t>no</t>
        </is>
      </c>
      <c r="Y109" s="4" t="b">
        <v>0</v>
      </c>
      <c r="Z109" s="4" t="n">
        <v>181</v>
      </c>
      <c r="AA109" s="4" t="inlineStr">
        <is>
          <t>no</t>
        </is>
      </c>
      <c r="AB109" s="4" t="inlineStr">
        <is>
          <t>observed_synthetic_follow_up</t>
        </is>
      </c>
      <c r="AC109" s="4" t="inlineStr">
        <is>
          <t>moderate</t>
        </is>
      </c>
      <c r="AD109" s="4" t="inlineStr">
        <is>
          <t>baseline_predictors_only</t>
        </is>
      </c>
      <c r="AE109" s="4" t="inlineStr">
        <is>
          <t>research_only_not_clinically_validated</t>
        </is>
      </c>
      <c r="AF109" s="4" t="inlineStr">
        <is>
          <t>not_defined_pending_clinical_review</t>
        </is>
      </c>
    </row>
    <row r="110">
      <c r="A110" s="4" t="inlineStr">
        <is>
          <t>SYN-20260820-0103</t>
        </is>
      </c>
      <c r="B110" s="4" t="inlineStr">
        <is>
          <t>2026-02-26</t>
        </is>
      </c>
      <c r="C110" s="4" t="n">
        <v>61</v>
      </c>
      <c r="D110" s="4" t="inlineStr">
        <is>
          <t>male</t>
        </is>
      </c>
      <c r="E110" s="4" t="inlineStr">
        <is>
          <t>hepatobiliary</t>
        </is>
      </c>
      <c r="F110" s="4" t="inlineStr">
        <is>
          <t>I</t>
        </is>
      </c>
      <c r="G110" s="4" t="n">
        <v>174.1</v>
      </c>
      <c r="H110" s="4" t="n">
        <v>0</v>
      </c>
      <c r="I110" s="4" t="inlineStr">
        <is>
          <t>no</t>
        </is>
      </c>
      <c r="J110" s="4" t="inlineStr">
        <is>
          <t>no</t>
        </is>
      </c>
      <c r="K110" s="4" t="n">
        <v>37.26162382331584</v>
      </c>
      <c r="M110" s="4" t="inlineStr">
        <is>
          <t>unknown</t>
        </is>
      </c>
      <c r="N110" s="4" t="inlineStr">
        <is>
          <t>unknown</t>
        </is>
      </c>
      <c r="O110" s="4" t="inlineStr">
        <is>
          <t>no</t>
        </is>
      </c>
      <c r="P110" s="4" t="b">
        <v>0</v>
      </c>
      <c r="Q110" s="4" t="n">
        <v>89</v>
      </c>
      <c r="R110" s="4" t="inlineStr">
        <is>
          <t>no</t>
        </is>
      </c>
      <c r="S110" s="4" t="inlineStr">
        <is>
          <t>observed_synthetic_follow_up</t>
        </is>
      </c>
      <c r="T110" s="4" t="inlineStr">
        <is>
          <t>withheld</t>
        </is>
      </c>
      <c r="U110" s="4" t="inlineStr">
        <is>
          <t>baseline_predictors_only</t>
        </is>
      </c>
      <c r="V110" s="4" t="inlineStr">
        <is>
          <t>withheld_missing_required_baseline_predictors</t>
        </is>
      </c>
      <c r="W110" s="4" t="inlineStr">
        <is>
          <t>not_defined_pending_clinical_review</t>
        </is>
      </c>
      <c r="X110" s="4" t="inlineStr">
        <is>
          <t>no</t>
        </is>
      </c>
      <c r="Y110" s="4" t="b">
        <v>0</v>
      </c>
      <c r="Z110" s="4" t="n">
        <v>181</v>
      </c>
      <c r="AA110" s="4" t="inlineStr">
        <is>
          <t>no</t>
        </is>
      </c>
      <c r="AB110" s="4" t="inlineStr">
        <is>
          <t>observed_synthetic_follow_up</t>
        </is>
      </c>
      <c r="AC110" s="4" t="inlineStr">
        <is>
          <t>withheld</t>
        </is>
      </c>
      <c r="AD110" s="4" t="inlineStr">
        <is>
          <t>baseline_predictors_only</t>
        </is>
      </c>
      <c r="AE110" s="4" t="inlineStr">
        <is>
          <t>withheld_missing_required_baseline_predictors</t>
        </is>
      </c>
      <c r="AF110" s="4" t="inlineStr">
        <is>
          <t>not_defined_pending_clinical_review</t>
        </is>
      </c>
    </row>
    <row r="111">
      <c r="A111" s="4" t="inlineStr">
        <is>
          <t>SYN-20260820-0104</t>
        </is>
      </c>
      <c r="B111" s="4" t="inlineStr">
        <is>
          <t>2026-02-27</t>
        </is>
      </c>
      <c r="C111" s="4" t="n">
        <v>76</v>
      </c>
      <c r="D111" s="4" t="inlineStr">
        <is>
          <t>male</t>
        </is>
      </c>
      <c r="E111" s="4" t="inlineStr">
        <is>
          <t>colorectal</t>
        </is>
      </c>
      <c r="F111" s="4" t="inlineStr">
        <is>
          <t>II</t>
        </is>
      </c>
      <c r="G111" s="4" t="n">
        <v>172.3</v>
      </c>
      <c r="H111" s="4" t="n">
        <v>0</v>
      </c>
      <c r="I111" s="4" t="inlineStr">
        <is>
          <t>yes</t>
        </is>
      </c>
      <c r="J111" s="4" t="inlineStr">
        <is>
          <t>unknown</t>
        </is>
      </c>
      <c r="K111" s="4" t="n">
        <v>36.71065967961373</v>
      </c>
      <c r="L111" s="4" t="n">
        <v>-0.4886864477105511</v>
      </c>
      <c r="M111" s="4" t="inlineStr">
        <is>
          <t>no</t>
        </is>
      </c>
      <c r="N111" s="4" t="inlineStr">
        <is>
          <t>no</t>
        </is>
      </c>
      <c r="O111" s="4" t="inlineStr">
        <is>
          <t>no</t>
        </is>
      </c>
      <c r="P111" s="4" t="b">
        <v>0</v>
      </c>
      <c r="Q111" s="4" t="n">
        <v>89</v>
      </c>
      <c r="R111" s="4" t="inlineStr">
        <is>
          <t>no</t>
        </is>
      </c>
      <c r="S111" s="4" t="inlineStr">
        <is>
          <t>observed_synthetic_follow_up</t>
        </is>
      </c>
      <c r="T111" s="4" t="inlineStr">
        <is>
          <t>moderate</t>
        </is>
      </c>
      <c r="U111" s="4" t="inlineStr">
        <is>
          <t>baseline_predictors_only</t>
        </is>
      </c>
      <c r="V111" s="4" t="inlineStr">
        <is>
          <t>research_only_not_clinically_validated</t>
        </is>
      </c>
      <c r="W111" s="4" t="inlineStr">
        <is>
          <t>not_defined_pending_clinical_review</t>
        </is>
      </c>
      <c r="X111" s="4" t="inlineStr">
        <is>
          <t>no</t>
        </is>
      </c>
      <c r="Y111" s="4" t="b">
        <v>0</v>
      </c>
      <c r="Z111" s="4" t="n">
        <v>181</v>
      </c>
      <c r="AA111" s="4" t="inlineStr">
        <is>
          <t>no</t>
        </is>
      </c>
      <c r="AB111" s="4" t="inlineStr">
        <is>
          <t>observed_synthetic_follow_up</t>
        </is>
      </c>
      <c r="AC111" s="4" t="inlineStr">
        <is>
          <t>moderate</t>
        </is>
      </c>
      <c r="AD111" s="4" t="inlineStr">
        <is>
          <t>baseline_predictors_only</t>
        </is>
      </c>
      <c r="AE111" s="4" t="inlineStr">
        <is>
          <t>research_only_not_clinically_validated</t>
        </is>
      </c>
      <c r="AF111" s="4" t="inlineStr">
        <is>
          <t>not_defined_pending_clinical_review</t>
        </is>
      </c>
    </row>
    <row r="112">
      <c r="A112" s="4" t="inlineStr">
        <is>
          <t>SYN-20260820-0105</t>
        </is>
      </c>
      <c r="B112" s="4" t="inlineStr">
        <is>
          <t>2026-02-28</t>
        </is>
      </c>
      <c r="C112" s="4" t="n">
        <v>37</v>
      </c>
      <c r="D112" s="4" t="inlineStr">
        <is>
          <t>male</t>
        </is>
      </c>
      <c r="E112" s="4" t="inlineStr">
        <is>
          <t>oesophageal</t>
        </is>
      </c>
      <c r="F112" s="4" t="inlineStr">
        <is>
          <t>IV</t>
        </is>
      </c>
      <c r="G112" s="4" t="n">
        <v>174.3</v>
      </c>
      <c r="H112" s="4" t="n">
        <v>1</v>
      </c>
      <c r="I112" s="4" t="inlineStr">
        <is>
          <t>unknown</t>
        </is>
      </c>
      <c r="J112" s="4" t="inlineStr">
        <is>
          <t>unknown</t>
        </is>
      </c>
      <c r="K112" s="4" t="n">
        <v>33.51789256855304</v>
      </c>
      <c r="L112" s="4" t="n">
        <v>3.238404743578781</v>
      </c>
      <c r="M112" s="4" t="inlineStr">
        <is>
          <t>unknown</t>
        </is>
      </c>
      <c r="N112" s="4" t="inlineStr">
        <is>
          <t>unknown</t>
        </is>
      </c>
      <c r="O112" s="4" t="inlineStr">
        <is>
          <t>unknown</t>
        </is>
      </c>
      <c r="P112" s="4" t="b">
        <v>0</v>
      </c>
      <c r="Q112" s="4" t="n">
        <v>89</v>
      </c>
      <c r="R112" s="4" t="inlineStr">
        <is>
          <t>unknown</t>
        </is>
      </c>
      <c r="S112" s="4" t="inlineStr">
        <is>
          <t>observed_synthetic_follow_up</t>
        </is>
      </c>
      <c r="T112" s="4" t="inlineStr">
        <is>
          <t>withheld</t>
        </is>
      </c>
      <c r="U112" s="4" t="inlineStr">
        <is>
          <t>baseline_predictors_only</t>
        </is>
      </c>
      <c r="V112" s="4" t="inlineStr">
        <is>
          <t>withheld_missing_required_baseline_predictors</t>
        </is>
      </c>
      <c r="W112" s="4" t="inlineStr">
        <is>
          <t>not_defined_pending_clinical_review</t>
        </is>
      </c>
      <c r="X112" s="4" t="inlineStr">
        <is>
          <t>yes</t>
        </is>
      </c>
      <c r="Y112" s="4" t="b">
        <v>0</v>
      </c>
      <c r="Z112" s="4" t="n">
        <v>181</v>
      </c>
      <c r="AA112" s="4" t="inlineStr">
        <is>
          <t>no</t>
        </is>
      </c>
      <c r="AB112" s="4" t="inlineStr">
        <is>
          <t>observed_synthetic_follow_up</t>
        </is>
      </c>
      <c r="AC112" s="4" t="inlineStr">
        <is>
          <t>withheld</t>
        </is>
      </c>
      <c r="AD112" s="4" t="inlineStr">
        <is>
          <t>baseline_predictors_only</t>
        </is>
      </c>
      <c r="AE112" s="4" t="inlineStr">
        <is>
          <t>withheld_missing_required_baseline_predictors</t>
        </is>
      </c>
      <c r="AF112" s="4" t="inlineStr">
        <is>
          <t>not_defined_pending_clinical_review</t>
        </is>
      </c>
    </row>
    <row r="113">
      <c r="A113" s="4" t="inlineStr">
        <is>
          <t>SYN-20260820-0106</t>
        </is>
      </c>
      <c r="B113" s="4" t="inlineStr">
        <is>
          <t>2026-03-01</t>
        </is>
      </c>
      <c r="C113" s="4" t="n">
        <v>37</v>
      </c>
      <c r="D113" s="4" t="inlineStr">
        <is>
          <t>male</t>
        </is>
      </c>
      <c r="E113" s="4" t="inlineStr">
        <is>
          <t>gastric</t>
        </is>
      </c>
      <c r="F113" s="4" t="inlineStr">
        <is>
          <t>II</t>
        </is>
      </c>
      <c r="G113" s="4" t="n">
        <v>182.5</v>
      </c>
      <c r="H113" s="4" t="n">
        <v>1</v>
      </c>
      <c r="I113" s="4" t="inlineStr">
        <is>
          <t>no</t>
        </is>
      </c>
      <c r="J113" s="4" t="inlineStr">
        <is>
          <t>no</t>
        </is>
      </c>
      <c r="K113" s="4" t="n">
        <v>25.26943141302308</v>
      </c>
      <c r="M113" s="4" t="inlineStr">
        <is>
          <t>unknown</t>
        </is>
      </c>
      <c r="N113" s="4" t="inlineStr">
        <is>
          <t>unknown</t>
        </is>
      </c>
      <c r="O113" s="4" t="inlineStr">
        <is>
          <t>no</t>
        </is>
      </c>
      <c r="P113" s="4" t="b">
        <v>0</v>
      </c>
      <c r="Q113" s="4" t="n">
        <v>92</v>
      </c>
      <c r="R113" s="4" t="inlineStr">
        <is>
          <t>yes</t>
        </is>
      </c>
      <c r="S113" s="4" t="inlineStr">
        <is>
          <t>observed_synthetic_follow_up</t>
        </is>
      </c>
      <c r="T113" s="4" t="inlineStr">
        <is>
          <t>withheld</t>
        </is>
      </c>
      <c r="U113" s="4" t="inlineStr">
        <is>
          <t>baseline_predictors_only</t>
        </is>
      </c>
      <c r="V113" s="4" t="inlineStr">
        <is>
          <t>withheld_missing_required_baseline_predictors</t>
        </is>
      </c>
      <c r="W113" s="4" t="inlineStr">
        <is>
          <t>not_defined_pending_clinical_review</t>
        </is>
      </c>
      <c r="X113" s="4" t="inlineStr">
        <is>
          <t>unknown</t>
        </is>
      </c>
      <c r="Y113" s="4" t="b">
        <v>0</v>
      </c>
      <c r="Z113" s="4" t="n">
        <v>184</v>
      </c>
      <c r="AA113" s="4" t="inlineStr">
        <is>
          <t>unknown</t>
        </is>
      </c>
      <c r="AB113" s="4" t="inlineStr">
        <is>
          <t>observed_synthetic_follow_up</t>
        </is>
      </c>
      <c r="AC113" s="4" t="inlineStr">
        <is>
          <t>withheld</t>
        </is>
      </c>
      <c r="AD113" s="4" t="inlineStr">
        <is>
          <t>baseline_predictors_only</t>
        </is>
      </c>
      <c r="AE113" s="4" t="inlineStr">
        <is>
          <t>withheld_missing_required_baseline_predictors</t>
        </is>
      </c>
      <c r="AF113" s="4" t="inlineStr">
        <is>
          <t>not_defined_pending_clinical_review</t>
        </is>
      </c>
    </row>
    <row r="114">
      <c r="A114" s="4" t="inlineStr">
        <is>
          <t>SYN-20260820-0107</t>
        </is>
      </c>
      <c r="B114" s="4" t="inlineStr">
        <is>
          <t>2026-03-02</t>
        </is>
      </c>
      <c r="C114" s="4" t="n">
        <v>30</v>
      </c>
      <c r="D114" s="4" t="inlineStr">
        <is>
          <t>male</t>
        </is>
      </c>
      <c r="E114" s="4" t="inlineStr">
        <is>
          <t>lung</t>
        </is>
      </c>
      <c r="F114" s="4" t="inlineStr">
        <is>
          <t>III</t>
        </is>
      </c>
      <c r="G114" s="4" t="n">
        <v>172.5</v>
      </c>
      <c r="H114" s="4" t="n">
        <v>0</v>
      </c>
      <c r="I114" s="4" t="inlineStr">
        <is>
          <t>yes</t>
        </is>
      </c>
      <c r="J114" s="4" t="inlineStr">
        <is>
          <t>no</t>
        </is>
      </c>
      <c r="K114" s="4" t="n">
        <v>23.97815584961142</v>
      </c>
      <c r="L114" s="4" t="n">
        <v>-0.1052262364082618</v>
      </c>
      <c r="M114" s="4" t="inlineStr">
        <is>
          <t>no</t>
        </is>
      </c>
      <c r="N114" s="4" t="inlineStr">
        <is>
          <t>no</t>
        </is>
      </c>
      <c r="O114" s="4" t="inlineStr">
        <is>
          <t>no</t>
        </is>
      </c>
      <c r="P114" s="4" t="b">
        <v>0</v>
      </c>
      <c r="Q114" s="4" t="n">
        <v>92</v>
      </c>
      <c r="R114" s="4" t="inlineStr">
        <is>
          <t>no</t>
        </is>
      </c>
      <c r="S114" s="4" t="inlineStr">
        <is>
          <t>observed_synthetic_follow_up</t>
        </is>
      </c>
      <c r="T114" s="4" t="inlineStr">
        <is>
          <t>moderate</t>
        </is>
      </c>
      <c r="U114" s="4" t="inlineStr">
        <is>
          <t>baseline_predictors_only</t>
        </is>
      </c>
      <c r="V114" s="4" t="inlineStr">
        <is>
          <t>research_only_not_clinically_validated</t>
        </is>
      </c>
      <c r="W114" s="4" t="inlineStr">
        <is>
          <t>not_defined_pending_clinical_review</t>
        </is>
      </c>
      <c r="X114" s="4" t="inlineStr">
        <is>
          <t>unknown</t>
        </is>
      </c>
      <c r="Y114" s="4" t="b">
        <v>0</v>
      </c>
      <c r="Z114" s="4" t="n">
        <v>184</v>
      </c>
      <c r="AA114" s="4" t="inlineStr">
        <is>
          <t>unknown</t>
        </is>
      </c>
      <c r="AB114" s="4" t="inlineStr">
        <is>
          <t>observed_synthetic_follow_up</t>
        </is>
      </c>
      <c r="AC114" s="4" t="inlineStr">
        <is>
          <t>moderate</t>
        </is>
      </c>
      <c r="AD114" s="4" t="inlineStr">
        <is>
          <t>baseline_predictors_only</t>
        </is>
      </c>
      <c r="AE114" s="4" t="inlineStr">
        <is>
          <t>research_only_not_clinically_validated</t>
        </is>
      </c>
      <c r="AF114" s="4" t="inlineStr">
        <is>
          <t>not_defined_pending_clinical_review</t>
        </is>
      </c>
    </row>
    <row r="115">
      <c r="A115" s="4" t="inlineStr">
        <is>
          <t>SYN-20260820-0108</t>
        </is>
      </c>
      <c r="B115" s="4" t="inlineStr">
        <is>
          <t>2026-03-03</t>
        </is>
      </c>
      <c r="C115" s="4" t="n">
        <v>77</v>
      </c>
      <c r="D115" s="4" t="inlineStr">
        <is>
          <t>female</t>
        </is>
      </c>
      <c r="E115" s="4" t="inlineStr">
        <is>
          <t>breast</t>
        </is>
      </c>
      <c r="F115" s="4" t="inlineStr">
        <is>
          <t>I</t>
        </is>
      </c>
      <c r="G115" s="4" t="n">
        <v>166.1</v>
      </c>
      <c r="H115" s="4" t="n">
        <v>2</v>
      </c>
      <c r="I115" s="4" t="inlineStr">
        <is>
          <t>no</t>
        </is>
      </c>
      <c r="J115" s="4" t="inlineStr">
        <is>
          <t>no</t>
        </is>
      </c>
      <c r="K115" s="4" t="n">
        <v>24.50088277264916</v>
      </c>
      <c r="L115" s="4" t="n">
        <v>-0.1318381797443208</v>
      </c>
      <c r="M115" s="4" t="inlineStr">
        <is>
          <t>no</t>
        </is>
      </c>
      <c r="N115" s="4" t="inlineStr">
        <is>
          <t>no</t>
        </is>
      </c>
      <c r="O115" s="4" t="inlineStr">
        <is>
          <t>no</t>
        </is>
      </c>
      <c r="P115" s="4" t="b">
        <v>0</v>
      </c>
      <c r="Q115" s="4" t="n">
        <v>92</v>
      </c>
      <c r="R115" s="4" t="inlineStr">
        <is>
          <t>no</t>
        </is>
      </c>
      <c r="S115" s="4" t="inlineStr">
        <is>
          <t>observed_synthetic_follow_up</t>
        </is>
      </c>
      <c r="T115" s="4" t="inlineStr">
        <is>
          <t>low</t>
        </is>
      </c>
      <c r="U115" s="4" t="inlineStr">
        <is>
          <t>baseline_predictors_only</t>
        </is>
      </c>
      <c r="V115" s="4" t="inlineStr">
        <is>
          <t>research_only_not_clinically_validated</t>
        </is>
      </c>
      <c r="W115" s="4" t="inlineStr">
        <is>
          <t>not_defined_pending_clinical_review</t>
        </is>
      </c>
      <c r="X115" s="4" t="inlineStr">
        <is>
          <t>no</t>
        </is>
      </c>
      <c r="Y115" s="4" t="b">
        <v>0</v>
      </c>
      <c r="Z115" s="4" t="n">
        <v>184</v>
      </c>
      <c r="AA115" s="4" t="inlineStr">
        <is>
          <t>no</t>
        </is>
      </c>
      <c r="AB115" s="4" t="inlineStr">
        <is>
          <t>observed_synthetic_follow_up</t>
        </is>
      </c>
      <c r="AC115" s="4" t="inlineStr">
        <is>
          <t>moderate</t>
        </is>
      </c>
      <c r="AD115" s="4" t="inlineStr">
        <is>
          <t>baseline_predictors_only</t>
        </is>
      </c>
      <c r="AE115" s="4" t="inlineStr">
        <is>
          <t>research_only_not_clinically_validated</t>
        </is>
      </c>
      <c r="AF115" s="4" t="inlineStr">
        <is>
          <t>not_defined_pending_clinical_review</t>
        </is>
      </c>
    </row>
    <row r="116">
      <c r="A116" s="4" t="inlineStr">
        <is>
          <t>SYN-20260820-0109</t>
        </is>
      </c>
      <c r="B116" s="4" t="inlineStr">
        <is>
          <t>2026-03-04</t>
        </is>
      </c>
      <c r="C116" s="4" t="n">
        <v>73</v>
      </c>
      <c r="D116" s="4" t="inlineStr">
        <is>
          <t>male</t>
        </is>
      </c>
      <c r="E116" s="4" t="inlineStr">
        <is>
          <t>colorectal</t>
        </is>
      </c>
      <c r="F116" s="4" t="inlineStr">
        <is>
          <t>III</t>
        </is>
      </c>
      <c r="G116" s="4" t="n">
        <v>178.4</v>
      </c>
      <c r="H116" s="4" t="n">
        <v>2</v>
      </c>
      <c r="I116" s="4" t="inlineStr">
        <is>
          <t>no</t>
        </is>
      </c>
      <c r="J116" s="4" t="inlineStr">
        <is>
          <t>no</t>
        </is>
      </c>
      <c r="K116" s="4" t="n">
        <v>22.68231313720364</v>
      </c>
      <c r="L116" s="4" t="n">
        <v>1.188097128309027</v>
      </c>
      <c r="M116" s="4" t="inlineStr">
        <is>
          <t>no</t>
        </is>
      </c>
      <c r="N116" s="4" t="inlineStr">
        <is>
          <t>no</t>
        </is>
      </c>
      <c r="O116" s="4" t="inlineStr">
        <is>
          <t>no</t>
        </is>
      </c>
      <c r="P116" s="4" t="b">
        <v>0</v>
      </c>
      <c r="Q116" s="4" t="n">
        <v>92</v>
      </c>
      <c r="R116" s="4" t="inlineStr">
        <is>
          <t>yes</t>
        </is>
      </c>
      <c r="S116" s="4" t="inlineStr">
        <is>
          <t>observed_synthetic_follow_up</t>
        </is>
      </c>
      <c r="T116" s="4" t="inlineStr">
        <is>
          <t>moderate</t>
        </is>
      </c>
      <c r="U116" s="4" t="inlineStr">
        <is>
          <t>baseline_predictors_only</t>
        </is>
      </c>
      <c r="V116" s="4" t="inlineStr">
        <is>
          <t>research_only_not_clinically_validated</t>
        </is>
      </c>
      <c r="W116" s="4" t="inlineStr">
        <is>
          <t>not_defined_pending_clinical_review</t>
        </is>
      </c>
      <c r="X116" s="4" t="inlineStr">
        <is>
          <t>unknown</t>
        </is>
      </c>
      <c r="Y116" s="4" t="b">
        <v>0</v>
      </c>
      <c r="Z116" s="4" t="n">
        <v>184</v>
      </c>
      <c r="AA116" s="4" t="inlineStr">
        <is>
          <t>unknown</t>
        </is>
      </c>
      <c r="AB116" s="4" t="inlineStr">
        <is>
          <t>observed_synthetic_follow_up</t>
        </is>
      </c>
      <c r="AC116" s="4" t="inlineStr">
        <is>
          <t>moderate</t>
        </is>
      </c>
      <c r="AD116" s="4" t="inlineStr">
        <is>
          <t>baseline_predictors_only</t>
        </is>
      </c>
      <c r="AE116" s="4" t="inlineStr">
        <is>
          <t>research_only_not_clinically_validated</t>
        </is>
      </c>
      <c r="AF116" s="4" t="inlineStr">
        <is>
          <t>not_defined_pending_clinical_review</t>
        </is>
      </c>
    </row>
    <row r="117">
      <c r="A117" s="4" t="inlineStr">
        <is>
          <t>SYN-20260820-0110</t>
        </is>
      </c>
      <c r="B117" s="4" t="inlineStr">
        <is>
          <t>2026-03-05</t>
        </is>
      </c>
      <c r="C117" s="4" t="n">
        <v>46</v>
      </c>
      <c r="D117" s="4" t="inlineStr">
        <is>
          <t>female</t>
        </is>
      </c>
      <c r="E117" s="4" t="inlineStr">
        <is>
          <t>colorectal</t>
        </is>
      </c>
      <c r="F117" s="4" t="inlineStr">
        <is>
          <t>III</t>
        </is>
      </c>
      <c r="G117" s="4" t="n">
        <v>158.7</v>
      </c>
      <c r="H117" s="4" t="n">
        <v>1</v>
      </c>
      <c r="I117" s="4" t="inlineStr">
        <is>
          <t>no</t>
        </is>
      </c>
      <c r="J117" s="4" t="inlineStr">
        <is>
          <t>no</t>
        </is>
      </c>
      <c r="K117" s="4" t="n">
        <v>33.50235788656178</v>
      </c>
      <c r="M117" s="4" t="inlineStr">
        <is>
          <t>unknown</t>
        </is>
      </c>
      <c r="N117" s="4" t="inlineStr">
        <is>
          <t>unknown</t>
        </is>
      </c>
      <c r="O117" s="4" t="inlineStr">
        <is>
          <t>no</t>
        </is>
      </c>
      <c r="P117" s="4" t="b">
        <v>0</v>
      </c>
      <c r="Q117" s="4" t="n">
        <v>92</v>
      </c>
      <c r="R117" s="4" t="inlineStr">
        <is>
          <t>no</t>
        </is>
      </c>
      <c r="S117" s="4" t="inlineStr">
        <is>
          <t>observed_synthetic_follow_up</t>
        </is>
      </c>
      <c r="T117" s="4" t="inlineStr">
        <is>
          <t>withheld</t>
        </is>
      </c>
      <c r="U117" s="4" t="inlineStr">
        <is>
          <t>baseline_predictors_only</t>
        </is>
      </c>
      <c r="V117" s="4" t="inlineStr">
        <is>
          <t>withheld_missing_required_baseline_predictors</t>
        </is>
      </c>
      <c r="W117" s="4" t="inlineStr">
        <is>
          <t>not_defined_pending_clinical_review</t>
        </is>
      </c>
      <c r="X117" s="4" t="inlineStr">
        <is>
          <t>no</t>
        </is>
      </c>
      <c r="Y117" s="4" t="b">
        <v>0</v>
      </c>
      <c r="Z117" s="4" t="n">
        <v>184</v>
      </c>
      <c r="AA117" s="4" t="inlineStr">
        <is>
          <t>no</t>
        </is>
      </c>
      <c r="AB117" s="4" t="inlineStr">
        <is>
          <t>observed_synthetic_follow_up</t>
        </is>
      </c>
      <c r="AC117" s="4" t="inlineStr">
        <is>
          <t>withheld</t>
        </is>
      </c>
      <c r="AD117" s="4" t="inlineStr">
        <is>
          <t>baseline_predictors_only</t>
        </is>
      </c>
      <c r="AE117" s="4" t="inlineStr">
        <is>
          <t>withheld_missing_required_baseline_predictors</t>
        </is>
      </c>
      <c r="AF117" s="4" t="inlineStr">
        <is>
          <t>not_defined_pending_clinical_review</t>
        </is>
      </c>
    </row>
    <row r="118">
      <c r="A118" s="4" t="inlineStr">
        <is>
          <t>SYN-20260820-0111</t>
        </is>
      </c>
      <c r="B118" s="4" t="inlineStr">
        <is>
          <t>2026-03-06</t>
        </is>
      </c>
      <c r="C118" s="4" t="n">
        <v>52</v>
      </c>
      <c r="D118" s="4" t="inlineStr">
        <is>
          <t>male</t>
        </is>
      </c>
      <c r="E118" s="4" t="inlineStr">
        <is>
          <t>pancreatic</t>
        </is>
      </c>
      <c r="F118" s="4" t="inlineStr">
        <is>
          <t>IV</t>
        </is>
      </c>
      <c r="G118" s="4" t="n">
        <v>176.8</v>
      </c>
      <c r="H118" s="4" t="n">
        <v>1</v>
      </c>
      <c r="I118" s="4" t="inlineStr">
        <is>
          <t>no</t>
        </is>
      </c>
      <c r="J118" s="4" t="inlineStr">
        <is>
          <t>no</t>
        </is>
      </c>
      <c r="K118" s="4" t="n">
        <v>35.98827061280481</v>
      </c>
      <c r="L118" s="4" t="n">
        <v>3.927680798004991</v>
      </c>
      <c r="M118" s="4" t="inlineStr">
        <is>
          <t>unknown</t>
        </is>
      </c>
      <c r="N118" s="4" t="inlineStr">
        <is>
          <t>unknown</t>
        </is>
      </c>
      <c r="O118" s="4" t="inlineStr">
        <is>
          <t>yes</t>
        </is>
      </c>
      <c r="P118" s="4" t="b">
        <v>0</v>
      </c>
      <c r="Q118" s="4" t="n">
        <v>92</v>
      </c>
      <c r="R118" s="4" t="inlineStr">
        <is>
          <t>no</t>
        </is>
      </c>
      <c r="S118" s="4" t="inlineStr">
        <is>
          <t>observed_synthetic_follow_up</t>
        </is>
      </c>
      <c r="T118" s="4" t="inlineStr">
        <is>
          <t>high</t>
        </is>
      </c>
      <c r="U118" s="4" t="inlineStr">
        <is>
          <t>baseline_predictors_only</t>
        </is>
      </c>
      <c r="V118" s="4" t="inlineStr">
        <is>
          <t>research_only_not_clinically_validated</t>
        </is>
      </c>
      <c r="W118" s="4" t="inlineStr">
        <is>
          <t>not_defined_pending_clinical_review</t>
        </is>
      </c>
      <c r="X118" s="4" t="inlineStr">
        <is>
          <t>yes</t>
        </is>
      </c>
      <c r="Y118" s="4" t="b">
        <v>0</v>
      </c>
      <c r="Z118" s="4" t="n">
        <v>184</v>
      </c>
      <c r="AA118" s="4" t="inlineStr">
        <is>
          <t>no</t>
        </is>
      </c>
      <c r="AB118" s="4" t="inlineStr">
        <is>
          <t>observed_synthetic_follow_up</t>
        </is>
      </c>
      <c r="AC118" s="4" t="inlineStr">
        <is>
          <t>high</t>
        </is>
      </c>
      <c r="AD118" s="4" t="inlineStr">
        <is>
          <t>baseline_predictors_only</t>
        </is>
      </c>
      <c r="AE118" s="4" t="inlineStr">
        <is>
          <t>research_only_not_clinically_validated</t>
        </is>
      </c>
      <c r="AF118" s="4" t="inlineStr">
        <is>
          <t>not_defined_pending_clinical_review</t>
        </is>
      </c>
    </row>
    <row r="119">
      <c r="A119" s="4" t="inlineStr">
        <is>
          <t>SYN-20260820-0112</t>
        </is>
      </c>
      <c r="B119" s="4" t="inlineStr">
        <is>
          <t>2026-03-07</t>
        </is>
      </c>
      <c r="C119" s="4" t="n">
        <v>73</v>
      </c>
      <c r="D119" s="4" t="inlineStr">
        <is>
          <t>male</t>
        </is>
      </c>
      <c r="E119" s="4" t="inlineStr">
        <is>
          <t>gastric</t>
        </is>
      </c>
      <c r="F119" s="4" t="inlineStr">
        <is>
          <t>II</t>
        </is>
      </c>
      <c r="G119" s="4" t="n">
        <v>171</v>
      </c>
      <c r="H119" s="4" t="n">
        <v>2</v>
      </c>
      <c r="I119" s="4" t="inlineStr">
        <is>
          <t>yes</t>
        </is>
      </c>
      <c r="J119" s="4" t="inlineStr">
        <is>
          <t>unknown</t>
        </is>
      </c>
      <c r="K119" s="4" t="n">
        <v>25.94405116104101</v>
      </c>
      <c r="L119" s="4" t="n">
        <v>1.38056548586285</v>
      </c>
      <c r="M119" s="4" t="inlineStr">
        <is>
          <t>no</t>
        </is>
      </c>
      <c r="N119" s="4" t="inlineStr">
        <is>
          <t>yes</t>
        </is>
      </c>
      <c r="O119" s="4" t="inlineStr">
        <is>
          <t>no</t>
        </is>
      </c>
      <c r="P119" s="4" t="b">
        <v>0</v>
      </c>
      <c r="Q119" s="4" t="n">
        <v>92</v>
      </c>
      <c r="R119" s="4" t="inlineStr">
        <is>
          <t>yes</t>
        </is>
      </c>
      <c r="S119" s="4" t="inlineStr">
        <is>
          <t>observed_synthetic_follow_up</t>
        </is>
      </c>
      <c r="T119" s="4" t="inlineStr">
        <is>
          <t>high</t>
        </is>
      </c>
      <c r="U119" s="4" t="inlineStr">
        <is>
          <t>baseline_predictors_only</t>
        </is>
      </c>
      <c r="V119" s="4" t="inlineStr">
        <is>
          <t>research_only_not_clinically_validated</t>
        </is>
      </c>
      <c r="W119" s="4" t="inlineStr">
        <is>
          <t>not_defined_pending_clinical_review</t>
        </is>
      </c>
      <c r="X119" s="4" t="inlineStr">
        <is>
          <t>unknown</t>
        </is>
      </c>
      <c r="Y119" s="4" t="b">
        <v>0</v>
      </c>
      <c r="Z119" s="4" t="n">
        <v>184</v>
      </c>
      <c r="AA119" s="4" t="inlineStr">
        <is>
          <t>unknown</t>
        </is>
      </c>
      <c r="AB119" s="4" t="inlineStr">
        <is>
          <t>observed_synthetic_follow_up</t>
        </is>
      </c>
      <c r="AC119" s="4" t="inlineStr">
        <is>
          <t>high</t>
        </is>
      </c>
      <c r="AD119" s="4" t="inlineStr">
        <is>
          <t>baseline_predictors_only</t>
        </is>
      </c>
      <c r="AE119" s="4" t="inlineStr">
        <is>
          <t>research_only_not_clinically_validated</t>
        </is>
      </c>
      <c r="AF119" s="4" t="inlineStr">
        <is>
          <t>not_defined_pending_clinical_review</t>
        </is>
      </c>
    </row>
    <row r="120">
      <c r="A120" s="4" t="inlineStr">
        <is>
          <t>SYN-20260820-0113</t>
        </is>
      </c>
      <c r="B120" s="4" t="inlineStr">
        <is>
          <t>2026-03-08</t>
        </is>
      </c>
      <c r="C120" s="4" t="n">
        <v>48</v>
      </c>
      <c r="D120" s="4" t="inlineStr">
        <is>
          <t>female</t>
        </is>
      </c>
      <c r="E120" s="4" t="inlineStr">
        <is>
          <t>hepatobiliary</t>
        </is>
      </c>
      <c r="F120" s="4" t="inlineStr">
        <is>
          <t>IV</t>
        </is>
      </c>
      <c r="G120" s="4" t="n">
        <v>164.4</v>
      </c>
      <c r="H120" s="4" t="n">
        <v>2</v>
      </c>
      <c r="I120" s="4" t="inlineStr">
        <is>
          <t>yes</t>
        </is>
      </c>
      <c r="J120" s="4" t="inlineStr">
        <is>
          <t>no</t>
        </is>
      </c>
      <c r="K120" s="4" t="n">
        <v>17.89260956305018</v>
      </c>
      <c r="L120" s="4" t="n">
        <v>3.745944547282096</v>
      </c>
      <c r="M120" s="4" t="inlineStr">
        <is>
          <t>yes</t>
        </is>
      </c>
      <c r="N120" s="4" t="inlineStr">
        <is>
          <t>no</t>
        </is>
      </c>
      <c r="O120" s="4" t="inlineStr">
        <is>
          <t>yes</t>
        </is>
      </c>
      <c r="P120" s="4" t="b">
        <v>0</v>
      </c>
      <c r="Q120" s="4" t="n">
        <v>92</v>
      </c>
      <c r="R120" s="4" t="inlineStr">
        <is>
          <t>no</t>
        </is>
      </c>
      <c r="S120" s="4" t="inlineStr">
        <is>
          <t>observed_synthetic_follow_up</t>
        </is>
      </c>
      <c r="T120" s="4" t="inlineStr">
        <is>
          <t>high</t>
        </is>
      </c>
      <c r="U120" s="4" t="inlineStr">
        <is>
          <t>baseline_predictors_only</t>
        </is>
      </c>
      <c r="V120" s="4" t="inlineStr">
        <is>
          <t>research_only_not_clinically_validated</t>
        </is>
      </c>
      <c r="W120" s="4" t="inlineStr">
        <is>
          <t>not_defined_pending_clinical_review</t>
        </is>
      </c>
      <c r="X120" s="4" t="inlineStr">
        <is>
          <t>yes</t>
        </is>
      </c>
      <c r="Y120" s="4" t="b">
        <v>0</v>
      </c>
      <c r="Z120" s="4" t="n">
        <v>184</v>
      </c>
      <c r="AA120" s="4" t="inlineStr">
        <is>
          <t>no</t>
        </is>
      </c>
      <c r="AB120" s="4" t="inlineStr">
        <is>
          <t>observed_synthetic_follow_up</t>
        </is>
      </c>
      <c r="AC120" s="4" t="inlineStr">
        <is>
          <t>high</t>
        </is>
      </c>
      <c r="AD120" s="4" t="inlineStr">
        <is>
          <t>baseline_predictors_only</t>
        </is>
      </c>
      <c r="AE120" s="4" t="inlineStr">
        <is>
          <t>research_only_not_clinically_validated</t>
        </is>
      </c>
      <c r="AF120" s="4" t="inlineStr">
        <is>
          <t>not_defined_pending_clinical_review</t>
        </is>
      </c>
    </row>
    <row r="121">
      <c r="A121" s="4" t="inlineStr">
        <is>
          <t>SYN-20260820-0114</t>
        </is>
      </c>
      <c r="B121" s="4" t="inlineStr">
        <is>
          <t>2026-03-09</t>
        </is>
      </c>
      <c r="C121" s="4" t="n">
        <v>67</v>
      </c>
      <c r="D121" s="4" t="inlineStr">
        <is>
          <t>female</t>
        </is>
      </c>
      <c r="E121" s="4" t="inlineStr">
        <is>
          <t>other solid tumour</t>
        </is>
      </c>
      <c r="F121" s="4" t="inlineStr">
        <is>
          <t>II</t>
        </is>
      </c>
      <c r="G121" s="4" t="n">
        <v>160.3</v>
      </c>
      <c r="H121" s="4" t="n">
        <v>2</v>
      </c>
      <c r="I121" s="4" t="inlineStr">
        <is>
          <t>yes</t>
        </is>
      </c>
      <c r="J121" s="4" t="inlineStr">
        <is>
          <t>yes</t>
        </is>
      </c>
      <c r="K121" s="4" t="n">
        <v>23.0661552010442</v>
      </c>
      <c r="L121" s="4" t="n">
        <v>0.2960620384544248</v>
      </c>
      <c r="M121" s="4" t="inlineStr">
        <is>
          <t>no</t>
        </is>
      </c>
      <c r="N121" s="4" t="inlineStr">
        <is>
          <t>no</t>
        </is>
      </c>
      <c r="O121" s="4" t="inlineStr">
        <is>
          <t>no</t>
        </is>
      </c>
      <c r="P121" s="4" t="b">
        <v>0</v>
      </c>
      <c r="Q121" s="4" t="n">
        <v>92</v>
      </c>
      <c r="R121" s="4" t="inlineStr">
        <is>
          <t>no</t>
        </is>
      </c>
      <c r="S121" s="4" t="inlineStr">
        <is>
          <t>observed_synthetic_follow_up</t>
        </is>
      </c>
      <c r="T121" s="4" t="inlineStr">
        <is>
          <t>moderate</t>
        </is>
      </c>
      <c r="U121" s="4" t="inlineStr">
        <is>
          <t>baseline_predictors_only</t>
        </is>
      </c>
      <c r="V121" s="4" t="inlineStr">
        <is>
          <t>research_only_not_clinically_validated</t>
        </is>
      </c>
      <c r="W121" s="4" t="inlineStr">
        <is>
          <t>not_defined_pending_clinical_review</t>
        </is>
      </c>
      <c r="X121" s="4" t="inlineStr">
        <is>
          <t>unknown</t>
        </is>
      </c>
      <c r="Y121" s="4" t="b">
        <v>0</v>
      </c>
      <c r="Z121" s="4" t="n">
        <v>184</v>
      </c>
      <c r="AA121" s="4" t="inlineStr">
        <is>
          <t>unknown</t>
        </is>
      </c>
      <c r="AB121" s="4" t="inlineStr">
        <is>
          <t>observed_synthetic_follow_up</t>
        </is>
      </c>
      <c r="AC121" s="4" t="inlineStr">
        <is>
          <t>moderate</t>
        </is>
      </c>
      <c r="AD121" s="4" t="inlineStr">
        <is>
          <t>baseline_predictors_only</t>
        </is>
      </c>
      <c r="AE121" s="4" t="inlineStr">
        <is>
          <t>research_only_not_clinically_validated</t>
        </is>
      </c>
      <c r="AF121" s="4" t="inlineStr">
        <is>
          <t>not_defined_pending_clinical_review</t>
        </is>
      </c>
    </row>
    <row r="122">
      <c r="A122" s="4" t="inlineStr">
        <is>
          <t>SYN-20260820-0115</t>
        </is>
      </c>
      <c r="B122" s="4" t="inlineStr">
        <is>
          <t>2026-03-10</t>
        </is>
      </c>
      <c r="C122" s="4" t="n">
        <v>71</v>
      </c>
      <c r="D122" s="4" t="inlineStr">
        <is>
          <t>female</t>
        </is>
      </c>
      <c r="E122" s="4" t="inlineStr">
        <is>
          <t>lung</t>
        </is>
      </c>
      <c r="F122" s="4" t="inlineStr">
        <is>
          <t>I</t>
        </is>
      </c>
      <c r="G122" s="4" t="n">
        <v>161.1</v>
      </c>
      <c r="H122" s="4" t="n">
        <v>2</v>
      </c>
      <c r="I122" s="4" t="inlineStr">
        <is>
          <t>no</t>
        </is>
      </c>
      <c r="J122" s="4" t="inlineStr">
        <is>
          <t>no</t>
        </is>
      </c>
      <c r="K122" s="4" t="n">
        <v>26.43526561839557</v>
      </c>
      <c r="L122" s="4" t="n">
        <v>0.9799818147704505</v>
      </c>
      <c r="M122" s="4" t="inlineStr">
        <is>
          <t>no</t>
        </is>
      </c>
      <c r="N122" s="4" t="inlineStr">
        <is>
          <t>no</t>
        </is>
      </c>
      <c r="O122" s="4" t="inlineStr">
        <is>
          <t>no</t>
        </is>
      </c>
      <c r="P122" s="4" t="b">
        <v>0</v>
      </c>
      <c r="Q122" s="4" t="n">
        <v>92</v>
      </c>
      <c r="R122" s="4" t="inlineStr">
        <is>
          <t>unknown</t>
        </is>
      </c>
      <c r="S122" s="4" t="inlineStr">
        <is>
          <t>observed_synthetic_follow_up</t>
        </is>
      </c>
      <c r="T122" s="4" t="inlineStr">
        <is>
          <t>moderate</t>
        </is>
      </c>
      <c r="U122" s="4" t="inlineStr">
        <is>
          <t>baseline_predictors_only</t>
        </is>
      </c>
      <c r="V122" s="4" t="inlineStr">
        <is>
          <t>research_only_not_clinically_validated</t>
        </is>
      </c>
      <c r="W122" s="4" t="inlineStr">
        <is>
          <t>not_defined_pending_clinical_review</t>
        </is>
      </c>
      <c r="X122" s="4" t="inlineStr">
        <is>
          <t>unknown</t>
        </is>
      </c>
      <c r="Y122" s="4" t="b">
        <v>0</v>
      </c>
      <c r="Z122" s="4" t="n">
        <v>184</v>
      </c>
      <c r="AA122" s="4" t="inlineStr">
        <is>
          <t>unknown</t>
        </is>
      </c>
      <c r="AB122" s="4" t="inlineStr">
        <is>
          <t>observed_synthetic_follow_up</t>
        </is>
      </c>
      <c r="AC122" s="4" t="inlineStr">
        <is>
          <t>moderate</t>
        </is>
      </c>
      <c r="AD122" s="4" t="inlineStr">
        <is>
          <t>baseline_predictors_only</t>
        </is>
      </c>
      <c r="AE122" s="4" t="inlineStr">
        <is>
          <t>research_only_not_clinically_validated</t>
        </is>
      </c>
      <c r="AF122" s="4" t="inlineStr">
        <is>
          <t>not_defined_pending_clinical_review</t>
        </is>
      </c>
    </row>
    <row r="123">
      <c r="A123" s="4" t="inlineStr">
        <is>
          <t>SYN-20260820-0116</t>
        </is>
      </c>
      <c r="B123" s="4" t="inlineStr">
        <is>
          <t>2026-03-11</t>
        </is>
      </c>
      <c r="C123" s="4" t="n">
        <v>54</v>
      </c>
      <c r="D123" s="4" t="inlineStr">
        <is>
          <t>male</t>
        </is>
      </c>
      <c r="E123" s="4" t="inlineStr">
        <is>
          <t>pancreatic</t>
        </is>
      </c>
      <c r="F123" s="4" t="inlineStr">
        <is>
          <t>II</t>
        </is>
      </c>
      <c r="G123" s="4" t="n">
        <v>176.9</v>
      </c>
      <c r="H123" s="4" t="n">
        <v>4</v>
      </c>
      <c r="I123" s="4" t="inlineStr">
        <is>
          <t>yes</t>
        </is>
      </c>
      <c r="J123" s="4" t="inlineStr">
        <is>
          <t>no</t>
        </is>
      </c>
      <c r="K123" s="4" t="n">
        <v>24.19056158749342</v>
      </c>
      <c r="L123" s="4" t="n">
        <v>2.93872527021656</v>
      </c>
      <c r="M123" s="4" t="inlineStr">
        <is>
          <t>unknown</t>
        </is>
      </c>
      <c r="N123" s="4" t="inlineStr">
        <is>
          <t>unknown</t>
        </is>
      </c>
      <c r="O123" s="4" t="inlineStr">
        <is>
          <t>no</t>
        </is>
      </c>
      <c r="P123" s="4" t="b">
        <v>0</v>
      </c>
      <c r="Q123" s="4" t="n">
        <v>92</v>
      </c>
      <c r="R123" s="4" t="inlineStr">
        <is>
          <t>no</t>
        </is>
      </c>
      <c r="S123" s="4" t="inlineStr">
        <is>
          <t>observed_synthetic_follow_up</t>
        </is>
      </c>
      <c r="T123" s="4" t="inlineStr">
        <is>
          <t>high</t>
        </is>
      </c>
      <c r="U123" s="4" t="inlineStr">
        <is>
          <t>baseline_predictors_only</t>
        </is>
      </c>
      <c r="V123" s="4" t="inlineStr">
        <is>
          <t>research_only_not_clinically_validated</t>
        </is>
      </c>
      <c r="W123" s="4" t="inlineStr">
        <is>
          <t>not_defined_pending_clinical_review</t>
        </is>
      </c>
      <c r="X123" s="4" t="inlineStr">
        <is>
          <t>no</t>
        </is>
      </c>
      <c r="Y123" s="4" t="b">
        <v>0</v>
      </c>
      <c r="Z123" s="4" t="n">
        <v>184</v>
      </c>
      <c r="AA123" s="4" t="inlineStr">
        <is>
          <t>yes</t>
        </is>
      </c>
      <c r="AB123" s="4" t="inlineStr">
        <is>
          <t>observed_synthetic_follow_up</t>
        </is>
      </c>
      <c r="AC123" s="4" t="inlineStr">
        <is>
          <t>high</t>
        </is>
      </c>
      <c r="AD123" s="4" t="inlineStr">
        <is>
          <t>baseline_predictors_only</t>
        </is>
      </c>
      <c r="AE123" s="4" t="inlineStr">
        <is>
          <t>research_only_not_clinically_validated</t>
        </is>
      </c>
      <c r="AF123" s="4" t="inlineStr">
        <is>
          <t>not_defined_pending_clinical_review</t>
        </is>
      </c>
    </row>
    <row r="124">
      <c r="A124" s="4" t="inlineStr">
        <is>
          <t>SYN-20260820-0117</t>
        </is>
      </c>
      <c r="B124" s="4" t="inlineStr">
        <is>
          <t>2026-03-12</t>
        </is>
      </c>
      <c r="C124" s="4" t="n">
        <v>47</v>
      </c>
      <c r="D124" s="4" t="inlineStr">
        <is>
          <t>female</t>
        </is>
      </c>
      <c r="E124" s="4" t="inlineStr">
        <is>
          <t>prostate</t>
        </is>
      </c>
      <c r="F124" s="4" t="inlineStr">
        <is>
          <t>IV</t>
        </is>
      </c>
      <c r="G124" s="4" t="n">
        <v>171.5</v>
      </c>
      <c r="H124" s="4" t="n">
        <v>3</v>
      </c>
      <c r="I124" s="4" t="inlineStr">
        <is>
          <t>yes</t>
        </is>
      </c>
      <c r="J124" s="4" t="inlineStr">
        <is>
          <t>no</t>
        </is>
      </c>
      <c r="K124" s="4" t="n">
        <v>38.64410237231085</v>
      </c>
      <c r="M124" s="4" t="inlineStr">
        <is>
          <t>unknown</t>
        </is>
      </c>
      <c r="N124" s="4" t="inlineStr">
        <is>
          <t>unknown</t>
        </is>
      </c>
      <c r="O124" s="4" t="inlineStr">
        <is>
          <t>unknown</t>
        </is>
      </c>
      <c r="P124" s="4" t="b">
        <v>0</v>
      </c>
      <c r="Q124" s="4" t="n">
        <v>92</v>
      </c>
      <c r="R124" s="4" t="inlineStr">
        <is>
          <t>unknown</t>
        </is>
      </c>
      <c r="S124" s="4" t="inlineStr">
        <is>
          <t>observed_synthetic_follow_up</t>
        </is>
      </c>
      <c r="T124" s="4" t="inlineStr">
        <is>
          <t>withheld</t>
        </is>
      </c>
      <c r="U124" s="4" t="inlineStr">
        <is>
          <t>baseline_predictors_only</t>
        </is>
      </c>
      <c r="V124" s="4" t="inlineStr">
        <is>
          <t>withheld_missing_required_baseline_predictors</t>
        </is>
      </c>
      <c r="W124" s="4" t="inlineStr">
        <is>
          <t>not_defined_pending_clinical_review</t>
        </is>
      </c>
      <c r="X124" s="4" t="inlineStr">
        <is>
          <t>unknown</t>
        </is>
      </c>
      <c r="Y124" s="4" t="b">
        <v>0</v>
      </c>
      <c r="Z124" s="4" t="n">
        <v>184</v>
      </c>
      <c r="AA124" s="4" t="inlineStr">
        <is>
          <t>unknown</t>
        </is>
      </c>
      <c r="AB124" s="4" t="inlineStr">
        <is>
          <t>observed_synthetic_follow_up</t>
        </is>
      </c>
      <c r="AC124" s="4" t="inlineStr">
        <is>
          <t>withheld</t>
        </is>
      </c>
      <c r="AD124" s="4" t="inlineStr">
        <is>
          <t>baseline_predictors_only</t>
        </is>
      </c>
      <c r="AE124" s="4" t="inlineStr">
        <is>
          <t>withheld_missing_required_baseline_predictors</t>
        </is>
      </c>
      <c r="AF124" s="4" t="inlineStr">
        <is>
          <t>not_defined_pending_clinical_review</t>
        </is>
      </c>
    </row>
    <row r="125">
      <c r="A125" s="4" t="inlineStr">
        <is>
          <t>SYN-20260820-0118</t>
        </is>
      </c>
      <c r="B125" s="4" t="inlineStr">
        <is>
          <t>2026-03-13</t>
        </is>
      </c>
      <c r="C125" s="4" t="n">
        <v>48</v>
      </c>
      <c r="D125" s="4" t="inlineStr">
        <is>
          <t>female</t>
        </is>
      </c>
      <c r="E125" s="4" t="inlineStr">
        <is>
          <t>gastric</t>
        </is>
      </c>
      <c r="F125" s="4" t="inlineStr">
        <is>
          <t>II</t>
        </is>
      </c>
      <c r="G125" s="4" t="n">
        <v>156.4</v>
      </c>
      <c r="H125" s="4" t="n">
        <v>2</v>
      </c>
      <c r="I125" s="4" t="inlineStr">
        <is>
          <t>no</t>
        </is>
      </c>
      <c r="J125" s="4" t="inlineStr">
        <is>
          <t>no</t>
        </is>
      </c>
      <c r="K125" s="4" t="n">
        <v>24.157678194151</v>
      </c>
      <c r="L125" s="4" t="n">
        <v>2.078016769959894</v>
      </c>
      <c r="M125" s="4" t="inlineStr">
        <is>
          <t>unknown</t>
        </is>
      </c>
      <c r="N125" s="4" t="inlineStr">
        <is>
          <t>unknown</t>
        </is>
      </c>
      <c r="O125" s="4" t="inlineStr">
        <is>
          <t>unknown</t>
        </is>
      </c>
      <c r="P125" s="4" t="b">
        <v>0</v>
      </c>
      <c r="Q125" s="4" t="n">
        <v>92</v>
      </c>
      <c r="R125" s="4" t="inlineStr">
        <is>
          <t>unknown</t>
        </is>
      </c>
      <c r="S125" s="4" t="inlineStr">
        <is>
          <t>observed_synthetic_follow_up</t>
        </is>
      </c>
      <c r="T125" s="4" t="inlineStr">
        <is>
          <t>moderate</t>
        </is>
      </c>
      <c r="U125" s="4" t="inlineStr">
        <is>
          <t>baseline_predictors_only</t>
        </is>
      </c>
      <c r="V125" s="4" t="inlineStr">
        <is>
          <t>research_only_not_clinically_validated</t>
        </is>
      </c>
      <c r="W125" s="4" t="inlineStr">
        <is>
          <t>not_defined_pending_clinical_review</t>
        </is>
      </c>
      <c r="X125" s="4" t="inlineStr">
        <is>
          <t>yes</t>
        </is>
      </c>
      <c r="Y125" s="4" t="b">
        <v>0</v>
      </c>
      <c r="Z125" s="4" t="n">
        <v>184</v>
      </c>
      <c r="AA125" s="4" t="inlineStr">
        <is>
          <t>no</t>
        </is>
      </c>
      <c r="AB125" s="4" t="inlineStr">
        <is>
          <t>observed_synthetic_follow_up</t>
        </is>
      </c>
      <c r="AC125" s="4" t="inlineStr">
        <is>
          <t>moderate</t>
        </is>
      </c>
      <c r="AD125" s="4" t="inlineStr">
        <is>
          <t>baseline_predictors_only</t>
        </is>
      </c>
      <c r="AE125" s="4" t="inlineStr">
        <is>
          <t>research_only_not_clinically_validated</t>
        </is>
      </c>
      <c r="AF125" s="4" t="inlineStr">
        <is>
          <t>not_defined_pending_clinical_review</t>
        </is>
      </c>
    </row>
    <row r="126">
      <c r="A126" s="4" t="inlineStr">
        <is>
          <t>SYN-20260820-0119</t>
        </is>
      </c>
      <c r="B126" s="4" t="inlineStr">
        <is>
          <t>2026-03-14</t>
        </is>
      </c>
      <c r="C126" s="4" t="n">
        <v>39</v>
      </c>
      <c r="D126" s="4" t="inlineStr">
        <is>
          <t>male</t>
        </is>
      </c>
      <c r="E126" s="4" t="inlineStr">
        <is>
          <t>colorectal</t>
        </is>
      </c>
      <c r="F126" s="4" t="inlineStr">
        <is>
          <t>IV</t>
        </is>
      </c>
      <c r="G126" s="4" t="n">
        <v>191.8</v>
      </c>
      <c r="H126" s="4" t="n">
        <v>0</v>
      </c>
      <c r="I126" s="4" t="inlineStr">
        <is>
          <t>yes</t>
        </is>
      </c>
      <c r="J126" s="4" t="inlineStr">
        <is>
          <t>unknown</t>
        </is>
      </c>
      <c r="K126" s="4" t="n">
        <v>24.24590700471141</v>
      </c>
      <c r="M126" s="4" t="inlineStr">
        <is>
          <t>unknown</t>
        </is>
      </c>
      <c r="N126" s="4" t="inlineStr">
        <is>
          <t>unknown</t>
        </is>
      </c>
      <c r="O126" s="4" t="inlineStr">
        <is>
          <t>no</t>
        </is>
      </c>
      <c r="P126" s="4" t="b">
        <v>0</v>
      </c>
      <c r="Q126" s="4" t="n">
        <v>92</v>
      </c>
      <c r="R126" s="4" t="inlineStr">
        <is>
          <t>no</t>
        </is>
      </c>
      <c r="S126" s="4" t="inlineStr">
        <is>
          <t>observed_synthetic_follow_up</t>
        </is>
      </c>
      <c r="T126" s="4" t="inlineStr">
        <is>
          <t>withheld</t>
        </is>
      </c>
      <c r="U126" s="4" t="inlineStr">
        <is>
          <t>baseline_predictors_only</t>
        </is>
      </c>
      <c r="V126" s="4" t="inlineStr">
        <is>
          <t>withheld_missing_required_baseline_predictors</t>
        </is>
      </c>
      <c r="W126" s="4" t="inlineStr">
        <is>
          <t>not_defined_pending_clinical_review</t>
        </is>
      </c>
      <c r="X126" s="4" t="inlineStr">
        <is>
          <t>unknown</t>
        </is>
      </c>
      <c r="Y126" s="4" t="b">
        <v>0</v>
      </c>
      <c r="Z126" s="4" t="n">
        <v>184</v>
      </c>
      <c r="AA126" s="4" t="inlineStr">
        <is>
          <t>unknown</t>
        </is>
      </c>
      <c r="AB126" s="4" t="inlineStr">
        <is>
          <t>observed_synthetic_follow_up</t>
        </is>
      </c>
      <c r="AC126" s="4" t="inlineStr">
        <is>
          <t>withheld</t>
        </is>
      </c>
      <c r="AD126" s="4" t="inlineStr">
        <is>
          <t>baseline_predictors_only</t>
        </is>
      </c>
      <c r="AE126" s="4" t="inlineStr">
        <is>
          <t>withheld_missing_required_baseline_predictors</t>
        </is>
      </c>
      <c r="AF126" s="4" t="inlineStr">
        <is>
          <t>not_defined_pending_clinical_review</t>
        </is>
      </c>
    </row>
    <row r="127">
      <c r="A127" s="4" t="inlineStr">
        <is>
          <t>SYN-20260820-0120</t>
        </is>
      </c>
      <c r="B127" s="4" t="inlineStr">
        <is>
          <t>2026-03-15</t>
        </is>
      </c>
      <c r="C127" s="4" t="n">
        <v>51</v>
      </c>
      <c r="D127" s="4" t="inlineStr">
        <is>
          <t>female</t>
        </is>
      </c>
      <c r="E127" s="4" t="inlineStr">
        <is>
          <t>breast</t>
        </is>
      </c>
      <c r="F127" s="4" t="inlineStr">
        <is>
          <t>III</t>
        </is>
      </c>
      <c r="G127" s="4" t="n">
        <v>174.2</v>
      </c>
      <c r="H127" s="4" t="n">
        <v>2</v>
      </c>
      <c r="I127" s="4" t="inlineStr">
        <is>
          <t>yes</t>
        </is>
      </c>
      <c r="J127" s="4" t="inlineStr">
        <is>
          <t>no</t>
        </is>
      </c>
      <c r="K127" s="4" t="n">
        <v>40.09735830254363</v>
      </c>
      <c r="M127" s="4" t="inlineStr">
        <is>
          <t>unknown</t>
        </is>
      </c>
      <c r="N127" s="4" t="inlineStr">
        <is>
          <t>unknown</t>
        </is>
      </c>
      <c r="O127" s="4" t="inlineStr">
        <is>
          <t>no</t>
        </is>
      </c>
      <c r="P127" s="4" t="b">
        <v>0</v>
      </c>
      <c r="Q127" s="4" t="n">
        <v>92</v>
      </c>
      <c r="R127" s="4" t="inlineStr">
        <is>
          <t>yes</t>
        </is>
      </c>
      <c r="S127" s="4" t="inlineStr">
        <is>
          <t>observed_synthetic_follow_up</t>
        </is>
      </c>
      <c r="T127" s="4" t="inlineStr">
        <is>
          <t>withheld</t>
        </is>
      </c>
      <c r="U127" s="4" t="inlineStr">
        <is>
          <t>baseline_predictors_only</t>
        </is>
      </c>
      <c r="V127" s="4" t="inlineStr">
        <is>
          <t>withheld_missing_required_baseline_predictors</t>
        </is>
      </c>
      <c r="W127" s="4" t="inlineStr">
        <is>
          <t>not_defined_pending_clinical_review</t>
        </is>
      </c>
      <c r="X127" s="4" t="inlineStr">
        <is>
          <t>unknown</t>
        </is>
      </c>
      <c r="Y127" s="4" t="b">
        <v>0</v>
      </c>
      <c r="Z127" s="4" t="n">
        <v>184</v>
      </c>
      <c r="AA127" s="4" t="inlineStr">
        <is>
          <t>unknown</t>
        </is>
      </c>
      <c r="AB127" s="4" t="inlineStr">
        <is>
          <t>observed_synthetic_follow_up</t>
        </is>
      </c>
      <c r="AC127" s="4" t="inlineStr">
        <is>
          <t>withheld</t>
        </is>
      </c>
      <c r="AD127" s="4" t="inlineStr">
        <is>
          <t>baseline_predictors_only</t>
        </is>
      </c>
      <c r="AE127" s="4" t="inlineStr">
        <is>
          <t>withheld_missing_required_baseline_predictors</t>
        </is>
      </c>
      <c r="AF127" s="4" t="inlineStr">
        <is>
          <t>not_defined_pending_clinical_review</t>
        </is>
      </c>
    </row>
  </sheetData>
  <mergeCells count="3">
    <mergeCell ref="A2:H2"/>
    <mergeCell ref="A4:H5"/>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28" customWidth="1" min="1" max="1"/>
    <col width="22" customWidth="1" min="2" max="2"/>
    <col width="78" customWidth="1" min="3" max="3"/>
  </cols>
  <sheetData>
    <row r="1" ht="32" customHeight="1">
      <c r="A1" s="1" t="inlineStr">
        <is>
          <t>Data dictionary</t>
        </is>
      </c>
    </row>
    <row r="2" ht="34" customHeight="1">
      <c r="A2" s="2" t="inlineStr">
        <is>
          <t>Units, values, and unknown behavior.</t>
        </is>
      </c>
    </row>
    <row r="3"/>
    <row r="4" ht="34" customHeight="1">
      <c r="A4" s="3" t="inlineStr">
        <is>
          <t>NOT FOR CLINICAL USE. All patients and outputs are synthetic. Category relationships are simulation assumptions, not clinically validated effects. Do not use for diagnosis, prognosis, treatment, patient care, or medical decisions.</t>
        </is>
      </c>
    </row>
    <row r="5"/>
    <row r="6"/>
    <row r="7"/>
    <row r="8">
      <c r="A8" s="4" t="inlineStr">
        <is>
          <t>Field</t>
        </is>
      </c>
      <c r="B8" s="4" t="inlineStr">
        <is>
          <t>Unit/type</t>
        </is>
      </c>
      <c r="C8" s="4" t="inlineStr">
        <is>
          <t>Definition</t>
        </is>
      </c>
    </row>
    <row r="9">
      <c r="A9" s="4" t="inlineStr">
        <is>
          <t>patient_id</t>
        </is>
      </c>
      <c r="B9" s="4" t="inlineStr">
        <is>
          <t>text</t>
        </is>
      </c>
      <c r="C9" s="4" t="inlineStr">
        <is>
          <t>SYN-* synthetic identifier</t>
        </is>
      </c>
    </row>
    <row r="10">
      <c r="A10" s="4" t="inlineStr">
        <is>
          <t>prediction_date</t>
        </is>
      </c>
      <c r="B10" s="4" t="inlineStr">
        <is>
          <t>date</t>
        </is>
      </c>
      <c r="C10" s="4" t="inlineStr">
        <is>
          <t>Explicit predictor cutoff</t>
        </is>
      </c>
    </row>
    <row r="11">
      <c r="A11" s="4" t="inlineStr">
        <is>
          <t>age</t>
        </is>
      </c>
      <c r="B11" s="4" t="inlineStr">
        <is>
          <t>years</t>
        </is>
      </c>
      <c r="C11" s="4" t="inlineStr">
        <is>
          <t>18–95</t>
        </is>
      </c>
    </row>
    <row r="12">
      <c r="A12" s="4" t="inlineStr">
        <is>
          <t>sex</t>
        </is>
      </c>
      <c r="B12" s="4" t="inlineStr">
        <is>
          <t>category</t>
        </is>
      </c>
      <c r="C12" s="4" t="inlineStr">
        <is>
          <t>female / male / unknown; descriptive and unused in category</t>
        </is>
      </c>
    </row>
    <row r="13">
      <c r="A13" s="4" t="inlineStr">
        <is>
          <t>cancer_type</t>
        </is>
      </c>
      <c r="B13" s="4" t="inlineStr">
        <is>
          <t>category</t>
        </is>
      </c>
      <c r="C13" s="4" t="inlineStr">
        <is>
          <t>Synthetic adult solid-tumour stratifier pending review</t>
        </is>
      </c>
    </row>
    <row r="14">
      <c r="A14" s="4" t="inlineStr">
        <is>
          <t>cancer_subtype</t>
        </is>
      </c>
      <c r="B14" s="4" t="inlineStr">
        <is>
          <t>category</t>
        </is>
      </c>
      <c r="C14" s="4" t="inlineStr">
        <is>
          <t>Lung description or not applicable; unused in category</t>
        </is>
      </c>
    </row>
    <row r="15">
      <c r="A15" s="4" t="inlineStr">
        <is>
          <t>cancer_stage</t>
        </is>
      </c>
      <c r="B15" s="4" t="inlineStr">
        <is>
          <t>category</t>
        </is>
      </c>
      <c r="C15" s="4" t="inlineStr">
        <is>
          <t>I / II / III / IV / unknown</t>
        </is>
      </c>
    </row>
    <row r="16">
      <c r="A16" s="4" t="inlineStr">
        <is>
          <t>height_cm</t>
        </is>
      </c>
      <c r="B16" s="4" t="inlineStr">
        <is>
          <t>cm</t>
        </is>
      </c>
      <c r="C16" s="4" t="inlineStr">
        <is>
          <t>140–200 or blank/unknown</t>
        </is>
      </c>
    </row>
    <row r="17">
      <c r="A17" s="4" t="inlineStr">
        <is>
          <t>weights</t>
        </is>
      </c>
      <c r="B17" s="4" t="inlineStr">
        <is>
          <t>kg + date</t>
        </is>
      </c>
      <c r="C17" s="4" t="inlineStr">
        <is>
          <t>25–160 kg; multiple dated rows</t>
        </is>
      </c>
    </row>
    <row r="18">
      <c r="A18" s="4" t="inlineStr">
        <is>
          <t>ecog</t>
        </is>
      </c>
      <c r="B18" s="4" t="inlineStr">
        <is>
          <t>category</t>
        </is>
      </c>
      <c r="C18" s="4" t="inlineStr">
        <is>
          <t>0–4 / unknown</t>
        </is>
      </c>
    </row>
    <row r="19">
      <c r="A19" s="4" t="inlineStr">
        <is>
          <t>reduced_appetite</t>
        </is>
      </c>
      <c r="B19" s="4" t="inlineStr">
        <is>
          <t>tri-state</t>
        </is>
      </c>
      <c r="C19" s="4" t="inlineStr">
        <is>
          <t>yes / no / unknown</t>
        </is>
      </c>
    </row>
    <row r="20">
      <c r="A20" s="4" t="inlineStr">
        <is>
          <t>sarcopenia</t>
        </is>
      </c>
      <c r="B20" s="4" t="inlineStr">
        <is>
          <t>tri-state</t>
        </is>
      </c>
      <c r="C20" s="4" t="inlineStr">
        <is>
          <t>future-use yes / no / unknown; pending definition, never inferred, unused in v1</t>
        </is>
      </c>
    </row>
    <row r="21">
      <c r="A21" s="5" t="inlineStr">
        <is>
          <t>follow_up_appetite_observations</t>
        </is>
      </c>
      <c r="B21" s="5" t="inlineStr">
        <is>
          <t>dated tri-state</t>
        </is>
      </c>
      <c r="C21" s="5" t="inlineStr">
        <is>
          <t>Future outcome evidence only; baseline appetite is not carried forward</t>
        </is>
      </c>
    </row>
    <row r="22">
      <c r="A22" s="4" t="inlineStr">
        <is>
          <t>baseline_criteria_status</t>
        </is>
      </c>
      <c r="B22" s="4" t="inlineStr">
        <is>
          <t>tri-state labels</t>
        </is>
      </c>
      <c r="C22" s="4" t="inlineStr">
        <is>
          <t>Baseline-derived current criteria status</t>
        </is>
      </c>
    </row>
    <row r="23">
      <c r="A23" s="5" t="inlineStr">
        <is>
          <t>outcome_3m</t>
        </is>
      </c>
      <c r="B23" s="5" t="inlineStr">
        <is>
          <t>qualified tri-state labels</t>
        </is>
      </c>
      <c r="C23" s="5" t="inlineStr">
        <is>
          <t>Research-only threshold outcome; direction and window differ from Fearon 2011</t>
        </is>
      </c>
    </row>
    <row r="24">
      <c r="A24" s="4" t="inlineStr">
        <is>
          <t>outcome_6m</t>
        </is>
      </c>
      <c r="B24" s="4" t="inlineStr">
        <is>
          <t>qualified tri-state labels</t>
        </is>
      </c>
      <c r="C24" s="4" t="inlineStr">
        <is>
          <t>Prospective research endpoint only; not a Fearon classification or diagnosis despite matching the six-month window length</t>
        </is>
      </c>
    </row>
    <row r="25">
      <c r="A25" s="4" t="inlineStr">
        <is>
          <t>outcome_interval_days</t>
        </is>
      </c>
      <c r="B25" s="4" t="inlineStr">
        <is>
          <t>days</t>
        </is>
      </c>
      <c r="C25" s="4" t="inlineStr">
        <is>
          <t>Actual baseline-weight-date to outcome-weight-date interval</t>
        </is>
      </c>
    </row>
    <row r="26">
      <c r="A26" s="4" t="inlineStr">
        <is>
          <t>fearon_classification</t>
        </is>
      </c>
      <c r="B26" s="4" t="inlineStr">
        <is>
          <t>boolean</t>
        </is>
      </c>
      <c r="C26" s="4" t="inlineStr">
        <is>
          <t>Always false for 3m and 6m prospective outcomes</t>
        </is>
      </c>
    </row>
    <row r="27">
      <c r="A27" s="4" t="inlineStr">
        <is>
          <t>illustrative_simulation_3m/6m</t>
        </is>
      </c>
      <c r="B27" s="4" t="inlineStr">
        <is>
          <t>ordinal category</t>
        </is>
      </c>
      <c r="C27" s="4" t="inlineStr">
        <is>
          <t>low / moderate / high or withheld; baseline predictors only; target outcome not defined pending clinical review</t>
        </is>
      </c>
    </row>
  </sheetData>
  <mergeCells count="3">
    <mergeCell ref="A2:H2"/>
    <mergeCell ref="A4:H5"/>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7"/>
  <sheetViews>
    <sheetView workbookViewId="0">
      <pane ySplit="7" topLeftCell="A8" activePane="bottomLeft" state="frozen"/>
      <selection pane="bottomLeft" activeCell="A1" sqref="A1"/>
    </sheetView>
  </sheetViews>
  <sheetFormatPr baseColWidth="8" defaultRowHeight="15"/>
  <cols>
    <col width="14" customWidth="1" min="1" max="1"/>
    <col width="62" customWidth="1" min="2" max="2"/>
    <col width="24" customWidth="1" min="3" max="3"/>
    <col width="22" customWidth="1" min="4" max="4"/>
    <col width="42" customWidth="1" min="5" max="5"/>
    <col width="52" customWidth="1" min="6" max="6"/>
    <col width="18" customWidth="1" min="7" max="7"/>
  </cols>
  <sheetData>
    <row r="1" ht="32" customHeight="1">
      <c r="A1" s="1" t="inlineStr">
        <is>
          <t>Clinical review decisions</t>
        </is>
      </c>
    </row>
    <row r="2" ht="34" customHeight="1">
      <c r="A2" s="2" t="inlineStr">
        <is>
          <t>No approval has been received. Record decisions explicitly; blank is not approval.</t>
        </is>
      </c>
    </row>
    <row r="3"/>
    <row r="4" ht="34" customHeight="1">
      <c r="A4" s="3" t="inlineStr">
        <is>
          <t>NOT FOR CLINICAL USE. All patients and outputs are synthetic. Category relationships are simulation assumptions, not clinically validated effects. Do not use for diagnosis, prognosis, treatment, patient care, or medical decisions.</t>
        </is>
      </c>
    </row>
    <row r="5"/>
    <row r="6"/>
    <row r="7">
      <c r="A7" s="5" t="inlineStr">
        <is>
          <t>ID</t>
        </is>
      </c>
      <c r="B7" s="5" t="inlineStr">
        <is>
          <t>Question</t>
        </is>
      </c>
      <c r="C7" s="5" t="inlineStr">
        <is>
          <t>Owner</t>
        </is>
      </c>
      <c r="D7" s="5" t="inlineStr">
        <is>
          <t>Status</t>
        </is>
      </c>
      <c r="E7" s="5" t="inlineStr">
        <is>
          <t>Decision</t>
        </is>
      </c>
      <c r="F7" s="5" t="inlineStr">
        <is>
          <t>Rationale</t>
        </is>
      </c>
      <c r="G7" s="5" t="inlineStr">
        <is>
          <t>Effective date</t>
        </is>
      </c>
    </row>
    <row r="8">
      <c r="A8" s="4" t="inlineStr">
        <is>
          <t>CLIN-001</t>
        </is>
      </c>
      <c r="B8" s="4" t="inlineStr">
        <is>
          <t>Confirm/revise predictor ranges and distributions</t>
        </is>
      </c>
      <c r="C8" s="4" t="inlineStr">
        <is>
          <t>Clinical review</t>
        </is>
      </c>
      <c r="D8" s="4" t="inlineStr">
        <is>
          <t>pending</t>
        </is>
      </c>
    </row>
    <row r="9">
      <c r="A9" s="4" t="inlineStr">
        <is>
          <t>CLIN-002</t>
        </is>
      </c>
      <c r="B9" s="4" t="inlineStr">
        <is>
          <t>Confirm stage/ECOG/appetite simulation relationships</t>
        </is>
      </c>
      <c r="C9" s="4" t="inlineStr">
        <is>
          <t>Clinical review</t>
        </is>
      </c>
      <c r="D9" s="4" t="inlineStr">
        <is>
          <t>pending</t>
        </is>
      </c>
    </row>
    <row r="10">
      <c r="A10" s="4" t="inlineStr">
        <is>
          <t>CLIN-003</t>
        </is>
      </c>
      <c r="B10" s="4" t="inlineStr">
        <is>
          <t>Approve/reject/revise provisional pre-cachexia rule</t>
        </is>
      </c>
      <c r="C10" s="4" t="inlineStr">
        <is>
          <t>Clinical review</t>
        </is>
      </c>
      <c r="D10" s="4" t="inlineStr">
        <is>
          <t>pending</t>
        </is>
      </c>
    </row>
    <row r="11">
      <c r="A11" s="4" t="inlineStr">
        <is>
          <t>CLIN-004</t>
        </is>
      </c>
      <c r="B11" s="4" t="inlineStr">
        <is>
          <t>Confirm Fearon implementation and unknown behavior</t>
        </is>
      </c>
      <c r="C11" s="4" t="inlineStr">
        <is>
          <t>Clinical review</t>
        </is>
      </c>
      <c r="D11" s="4" t="inlineStr">
        <is>
          <t>pending</t>
        </is>
      </c>
    </row>
    <row r="12">
      <c r="A12" s="4" t="inlineStr">
        <is>
          <t>CLIN-005</t>
        </is>
      </c>
      <c r="B12" s="4" t="inlineStr">
        <is>
          <t>Confirm outcome selection and inclusive boundaries</t>
        </is>
      </c>
      <c r="C12" s="4" t="inlineStr">
        <is>
          <t>Clinical review</t>
        </is>
      </c>
      <c r="D12" s="4" t="inlineStr">
        <is>
          <t>pending</t>
        </is>
      </c>
    </row>
    <row r="13">
      <c r="A13" s="4" t="inlineStr">
        <is>
          <t>CLIN-006</t>
        </is>
      </c>
      <c r="B13" s="4" t="inlineStr">
        <is>
          <t>Confirm sarcopenia representation</t>
        </is>
      </c>
      <c r="C13" s="4" t="inlineStr">
        <is>
          <t>Clinical review</t>
        </is>
      </c>
      <c r="D13" s="4" t="inlineStr">
        <is>
          <t>pending</t>
        </is>
      </c>
    </row>
    <row r="14">
      <c r="A14" s="4" t="inlineStr">
        <is>
          <t>CLIN-007</t>
        </is>
      </c>
      <c r="B14" s="4" t="inlineStr">
        <is>
          <t>Define eligibility and inclusion criteria</t>
        </is>
      </c>
      <c r="C14" s="4" t="inlineStr">
        <is>
          <t>Clinical review</t>
        </is>
      </c>
      <c r="D14" s="4" t="inlineStr">
        <is>
          <t>pending</t>
        </is>
      </c>
    </row>
    <row r="15">
      <c r="A15" s="4" t="inlineStr">
        <is>
          <t>CLIN-008</t>
        </is>
      </c>
      <c r="B15" s="4" t="inlineStr">
        <is>
          <t>Confirm dated follow-up appetite evidence and binary simplification</t>
        </is>
      </c>
      <c r="C15" s="4" t="inlineStr">
        <is>
          <t>Clinical review</t>
        </is>
      </c>
      <c r="D15" s="4" t="inlineStr">
        <is>
          <t>pending</t>
        </is>
      </c>
    </row>
    <row r="16">
      <c r="A16" s="4" t="inlineStr">
        <is>
          <t>CLIN-009</t>
        </is>
      </c>
      <c r="B16" s="4" t="inlineStr">
        <is>
          <t>Define the target outcome or estimand for illustrative categories</t>
        </is>
      </c>
      <c r="C16" s="4" t="inlineStr">
        <is>
          <t>Clinical review</t>
        </is>
      </c>
      <c r="D16" s="4" t="inlineStr">
        <is>
          <t>pending</t>
        </is>
      </c>
    </row>
    <row r="17">
      <c r="A17" s="4" t="inlineStr">
        <is>
          <t>UX-001</t>
        </is>
      </c>
      <c r="B17" s="4" t="inlineStr">
        <is>
          <t>Identify clinically misleading wording or presentation</t>
        </is>
      </c>
      <c r="C17" s="4" t="inlineStr">
        <is>
          <t>Clinical review</t>
        </is>
      </c>
      <c r="D17" s="4" t="inlineStr">
        <is>
          <t>pending</t>
        </is>
      </c>
    </row>
  </sheetData>
  <mergeCells count="3">
    <mergeCell ref="A2:H2"/>
    <mergeCell ref="A4:H5"/>
    <mergeCell ref="A1:H1"/>
  </mergeCells>
  <dataValidations count="1">
    <dataValidation sqref="D8:D17" showDropDown="0" showInputMessage="0" showErrorMessage="0" allowBlank="0" type="list">
      <formula1>"pending,approved,rejected,revision_requested"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2026-08-21T07:22:48Z</dcterms:created>
  <dcterms:modified xmlns:dcterms="http://purl.org/dc/terms/" xmlns:xsi="http://www.w3.org/2001/XMLSchema-instance" xsi:type="dcterms:W3CDTF">2026-08-21T07:22:48Z</dcterms:modified>
</cp:coreProperties>
</file>