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1" autoFilterDateGrouping="1"/>
  </bookViews>
  <sheets>
    <sheet xmlns:r="http://schemas.openxmlformats.org/officeDocument/2006/relationships" name="START HERE" sheetId="1" state="hidden" r:id="rId1"/>
    <sheet xmlns:r="http://schemas.openxmlformats.org/officeDocument/2006/relationships" name="Calculator" sheetId="2" state="visible" r:id="rId2"/>
    <sheet xmlns:r="http://schemas.openxmlformats.org/officeDocument/2006/relationships" name="Results" sheetId="3" state="hidden" r:id="rId3"/>
    <sheet xmlns:r="http://schemas.openxmlformats.org/officeDocument/2006/relationships" name="Assumptions" sheetId="4" state="hidden" r:id="rId4"/>
    <sheet xmlns:r="http://schemas.openxmlformats.org/officeDocument/2006/relationships" name="Synthetic Cohort" sheetId="5" state="hidden" r:id="rId5"/>
    <sheet xmlns:r="http://schemas.openxmlformats.org/officeDocument/2006/relationships" name="Data Dictionary" sheetId="6" state="hidden" r:id="rId6"/>
    <sheet xmlns:r="http://schemas.openxmlformats.org/officeDocument/2006/relationships" name="Clinical Review" sheetId="7" state="visible" r:id="rId7"/>
  </sheets>
  <definedNames/>
  <calcPr calcId="124519" fullCalcOnLoad="0" forceFullCalc="0"/>
</workbook>
</file>

<file path=xl/styles.xml><?xml version="1.0" encoding="utf-8"?>
<styleSheet xmlns="http://schemas.openxmlformats.org/spreadsheetml/2006/main">
  <numFmts count="5">
    <numFmt numFmtId="164" formatCode="yyyy-mm-dd"/>
    <numFmt numFmtId="165" formatCode="0.00 &quot;kg&quot;"/>
    <numFmt numFmtId="166" formatCode="0 &quot;days&quot;"/>
    <numFmt numFmtId="167" formatCode="0.00 &quot;kg/month&quot;"/>
    <numFmt numFmtId="168" formatCode="0.0%"/>
  </numFmts>
  <fonts count="8">
    <font>
      <name val="Calibri"/>
      <family val="2"/>
      <color theme="1"/>
      <sz val="11"/>
      <scheme val="minor"/>
    </font>
    <font>
      <b val="1"/>
      <color rgb="00FFFFFF"/>
      <sz val="20"/>
    </font>
    <font>
      <i val="1"/>
      <color rgb="0044545B"/>
    </font>
    <font>
      <b val="1"/>
      <color rgb="007A2F12"/>
    </font>
    <font>
      <b val="1"/>
      <color rgb="00006D71"/>
      <sz val="13"/>
    </font>
    <font>
      <b val="1"/>
      <color rgb="00FFFFFF"/>
      <sz val="15"/>
    </font>
    <font>
      <b val="1"/>
    </font>
    <font>
      <b val="1"/>
      <color rgb="00FFFFFF"/>
    </font>
  </fonts>
  <fills count="6">
    <fill>
      <patternFill/>
    </fill>
    <fill>
      <patternFill patternType="gray125"/>
    </fill>
    <fill>
      <patternFill patternType="solid">
        <fgColor rgb="0017324D"/>
      </patternFill>
    </fill>
    <fill>
      <patternFill patternType="solid">
        <fgColor rgb="00FFF1E9"/>
      </patternFill>
    </fill>
    <fill>
      <patternFill patternType="solid">
        <fgColor rgb="00DDEFEF"/>
      </patternFill>
    </fill>
    <fill>
      <patternFill patternType="solid">
        <fgColor rgb="00006D71"/>
      </patternFill>
    </fill>
  </fills>
  <borders count="2">
    <border>
      <left/>
      <right/>
      <top/>
      <bottom/>
      <diagonal/>
    </border>
    <border>
      <left style="thin">
        <color rgb="00B7C4C8"/>
      </left>
      <right style="thin">
        <color rgb="00B7C4C8"/>
      </right>
      <top style="thin">
        <color rgb="00B7C4C8"/>
      </top>
      <bottom style="thin">
        <color rgb="00B7C4C8"/>
      </bottom>
    </border>
  </borders>
  <cellStyleXfs count="1">
    <xf numFmtId="0" fontId="0" fillId="0" borderId="0"/>
  </cellStyleXfs>
  <cellXfs count="27">
    <xf numFmtId="0" fontId="0" fillId="0" borderId="0" pivotButton="0" quotePrefix="0" xfId="0"/>
    <xf numFmtId="0" fontId="1" fillId="2" borderId="0" applyAlignment="1" pivotButton="0" quotePrefix="0" xfId="0">
      <alignment vertical="center" wrapText="1"/>
    </xf>
    <xf numFmtId="0" fontId="2" fillId="0" borderId="0" applyAlignment="1" pivotButton="0" quotePrefix="0" xfId="0">
      <alignment vertical="top" wrapText="1"/>
    </xf>
    <xf numFmtId="0" fontId="3" fillId="3" borderId="1" applyAlignment="1" pivotButton="0" quotePrefix="0" xfId="0">
      <alignment vertical="center" wrapText="1"/>
    </xf>
    <xf numFmtId="0" fontId="0" fillId="0" borderId="0" applyAlignment="1" pivotButton="0" quotePrefix="0" xfId="0">
      <alignment vertical="top" wrapText="1"/>
    </xf>
    <xf numFmtId="0" fontId="7" fillId="5" borderId="0" applyAlignment="1" pivotButton="0" quotePrefix="0" xfId="0">
      <alignment vertical="top" wrapText="1"/>
    </xf>
    <xf numFmtId="164" fontId="0" fillId="4" borderId="1" applyAlignment="1" pivotButton="0" quotePrefix="0" xfId="0">
      <alignment vertical="top" wrapText="1"/>
    </xf>
    <xf numFmtId="0" fontId="5" fillId="5" borderId="0" applyAlignment="1" pivotButton="0" quotePrefix="0" xfId="0">
      <alignment vertical="top" wrapText="1"/>
    </xf>
    <xf numFmtId="0" fontId="0" fillId="4" borderId="1" applyAlignment="1" pivotButton="0" quotePrefix="0" xfId="0">
      <alignment vertical="top" wrapText="1"/>
    </xf>
    <xf numFmtId="0" fontId="6" fillId="0" borderId="0" applyAlignment="1" pivotButton="0" quotePrefix="0" xfId="0">
      <alignment vertical="top" wrapText="1"/>
    </xf>
    <xf numFmtId="165" fontId="0" fillId="4" borderId="0" applyAlignment="1" pivotButton="0" quotePrefix="0" xfId="0">
      <alignment vertical="top" wrapText="1"/>
    </xf>
    <xf numFmtId="168" fontId="0" fillId="4" borderId="0" applyAlignment="1" pivotButton="0" quotePrefix="0" xfId="0">
      <alignment vertical="top" wrapText="1"/>
    </xf>
    <xf numFmtId="2" fontId="0" fillId="4" borderId="0" applyAlignment="1" pivotButton="0" quotePrefix="0" xfId="0">
      <alignment vertical="top" wrapText="1"/>
    </xf>
    <xf numFmtId="0" fontId="0" fillId="4" borderId="0" applyAlignment="1" pivotButton="0" quotePrefix="0" xfId="0">
      <alignment vertical="top" wrapText="1"/>
    </xf>
    <xf numFmtId="10" fontId="0" fillId="4" borderId="0" applyAlignment="1" pivotButton="0" quotePrefix="0" xfId="0">
      <alignment vertical="top" wrapText="1"/>
    </xf>
    <xf numFmtId="166" fontId="0" fillId="4" borderId="0" applyAlignment="1" pivotButton="0" quotePrefix="0" xfId="0">
      <alignment vertical="top" wrapText="1"/>
    </xf>
    <xf numFmtId="167" fontId="0" fillId="4" borderId="0" applyAlignment="1" pivotButton="0" quotePrefix="0" xfId="0">
      <alignment vertical="top" wrapText="1"/>
    </xf>
    <xf numFmtId="0" fontId="4" fillId="0" borderId="0" applyAlignment="1" pivotButton="0" quotePrefix="0" xfId="0">
      <alignment vertical="top" wrapText="1"/>
    </xf>
    <xf numFmtId="0" fontId="0" fillId="3" borderId="1" applyAlignment="1" pivotButton="0" quotePrefix="0" xfId="0">
      <alignment vertical="top" wrapText="1"/>
    </xf>
    <xf numFmtId="164" fontId="0" fillId="4" borderId="0" applyAlignment="1" pivotButton="0" quotePrefix="0" xfId="0">
      <alignment vertical="top" wrapText="1"/>
    </xf>
    <xf numFmtId="164" fontId="7" fillId="5" borderId="0" applyAlignment="1" pivotButton="0" quotePrefix="0" xfId="0">
      <alignment vertical="top" wrapText="1"/>
    </xf>
    <xf numFmtId="164" fontId="0" fillId="4" borderId="0" pivotButton="0" quotePrefix="0" xfId="0"/>
    <xf numFmtId="0" fontId="0" fillId="4" borderId="0" pivotButton="0" quotePrefix="0" xfId="0"/>
    <xf numFmtId="0" fontId="6" fillId="0" borderId="0" pivotButton="0" quotePrefix="0" xfId="0"/>
    <xf numFmtId="168" fontId="0" fillId="0" borderId="0" pivotButton="0" quotePrefix="0" xfId="0"/>
    <xf numFmtId="168" fontId="0" fillId="0" borderId="0" applyAlignment="1" pivotButton="0" quotePrefix="0" xfId="0">
      <alignment vertical="top" wrapText="1"/>
    </xf>
    <xf numFmtId="168" fontId="7"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24"/>
  <sheetViews>
    <sheetView workbookViewId="0">
      <selection activeCell="A1" sqref="A1"/>
    </sheetView>
  </sheetViews>
  <sheetFormatPr baseColWidth="8" defaultRowHeight="15"/>
  <cols>
    <col width="20" customWidth="1" min="1" max="1"/>
    <col width="95" customWidth="1" min="2" max="2"/>
  </cols>
  <sheetData>
    <row r="1" ht="32" customHeight="1">
      <c r="A1" s="1" t="inlineStr">
        <is>
          <t>Synthetic cachexia risk workbook</t>
        </is>
      </c>
    </row>
    <row r="2" ht="34" customHeight="1">
      <c r="A2" s="2" t="inlineStr">
        <is>
          <t>Interactive, macro-free clinical review prototype.</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row r="8">
      <c r="A8" s="4" t="inlineStr">
        <is>
          <t>Step</t>
        </is>
      </c>
      <c r="B8" s="4" t="inlineStr">
        <is>
          <t>Action</t>
        </is>
      </c>
    </row>
    <row r="9">
      <c r="A9" s="4" t="inlineStr">
        <is>
          <t>1</t>
        </is>
      </c>
      <c r="B9" s="4" t="inlineStr">
        <is>
          <t>Open Calculator and change only blue input cells.</t>
        </is>
      </c>
    </row>
    <row r="10">
      <c r="A10" s="4" t="inlineStr">
        <is>
          <t>2</t>
        </is>
      </c>
      <c r="B10" s="4" t="inlineStr">
        <is>
          <t>Enter an explicit prediction date and dated weight history.</t>
        </is>
      </c>
    </row>
    <row r="11">
      <c r="A11" s="4" t="inlineStr">
        <is>
          <t>3</t>
        </is>
      </c>
      <c r="B11" s="4" t="inlineStr">
        <is>
          <t>Open Results to inspect derived variables, transparent labels, and separate simulated horizons.</t>
        </is>
      </c>
    </row>
    <row r="12">
      <c r="A12" s="4" t="inlineStr">
        <is>
          <t>4</t>
        </is>
      </c>
      <c r="B12" s="4" t="inlineStr">
        <is>
          <t>Review Assumptions before interpreting any output; every relationship is provisional.</t>
        </is>
      </c>
    </row>
    <row r="13">
      <c r="A13" s="4" t="inlineStr">
        <is>
          <t>5</t>
        </is>
      </c>
      <c r="B13" s="4" t="inlineStr">
        <is>
          <t>Use Clinical Review to record decisions and requested changes.</t>
        </is>
      </c>
    </row>
    <row r="14">
      <c r="B14" s="4" t="n"/>
    </row>
    <row r="15">
      <c r="B15" s="4" t="n"/>
    </row>
    <row r="16">
      <c r="A16" s="4" t="inlineStr">
        <is>
          <t>Compatibility</t>
        </is>
      </c>
      <c r="B16" s="4" t="inlineStr">
        <is>
          <t>Excel 2019 or Microsoft 365. Formulas recalculate when the workbook opens.</t>
        </is>
      </c>
    </row>
    <row r="17">
      <c r="B17" s="4" t="n"/>
    </row>
    <row r="18">
      <c r="A18" s="4" t="inlineStr">
        <is>
          <t>Statistical testing</t>
        </is>
      </c>
      <c r="B18" s="4" t="inlineStr">
        <is>
          <t>No clinical hypothesis testing is claimed. The current tests verify calculation, temporal, boundary, missingness, reproducibility, and configuration behavior only.</t>
        </is>
      </c>
    </row>
    <row r="19">
      <c r="B19" s="4" t="n"/>
    </row>
    <row r="20">
      <c r="B20" s="4" t="n"/>
    </row>
    <row r="21">
      <c r="A21" s="5" t="inlineStr">
        <is>
          <t>Implemented cachexia criteria</t>
        </is>
      </c>
      <c r="B21" s="5" t="inlineStr">
        <is>
          <t>Cachexia if weight loss is &gt;5%, if loss is &gt;2% with BMI &lt;20 kg/m², or if loss is &gt;2% with explicitly documented sarcopenia. Sarcopenia is never inferred from other fields.</t>
        </is>
      </c>
    </row>
    <row r="22">
      <c r="B22" s="4" t="n"/>
    </row>
    <row r="23">
      <c r="A23" s="5" t="inlineStr">
        <is>
          <t>Provisional early-risk pattern</t>
        </is>
      </c>
      <c r="B23" s="5" t="inlineStr">
        <is>
          <t>After cachexia is excluded: weight loss &gt;1% and &lt;=5% plus reduced appetite=yes. Pending clinical review.</t>
        </is>
      </c>
    </row>
    <row r="24">
      <c r="B24" s="4" t="n"/>
    </row>
  </sheetData>
  <mergeCells count="3">
    <mergeCell ref="A2:H2"/>
    <mergeCell ref="A4:H5"/>
    <mergeCell ref="A1:H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33"/>
  <sheetViews>
    <sheetView workbookViewId="0">
      <pane ySplit="7" topLeftCell="A8" activePane="bottomLeft" state="frozen"/>
      <selection pane="bottomLeft" activeCell="A1" sqref="A1"/>
    </sheetView>
  </sheetViews>
  <sheetFormatPr baseColWidth="8" defaultRowHeight="15"/>
  <cols>
    <col width="44" customWidth="1" min="1" max="1"/>
    <col width="24" customWidth="1" min="2" max="2"/>
    <col hidden="1" width="18" customWidth="1" min="3" max="3"/>
    <col hidden="1" width="18" customWidth="1" min="4" max="4"/>
    <col width="42" customWidth="1" min="5" max="5"/>
    <col width="22" customWidth="1" min="7" max="7"/>
    <col width="22" customWidth="1" min="8" max="8"/>
    <col width="22" customWidth="1" min="9" max="9"/>
    <col width="22" customWidth="1" min="10" max="10"/>
    <col width="22" customWidth="1" min="11" max="11"/>
    <col width="22" customWidth="1" min="12" max="12"/>
  </cols>
  <sheetData>
    <row r="1" ht="32" customHeight="1">
      <c r="A1" s="1" t="inlineStr">
        <is>
          <t>Interactive synthetic patient input</t>
        </is>
      </c>
    </row>
    <row r="2" ht="34" customHeight="1">
      <c r="A2" s="2" t="inlineStr">
        <is>
          <t>Change blue cells, then review automatically recalculated outputs on Results.</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row r="8">
      <c r="A8" s="4" t="inlineStr">
        <is>
          <t>Prediction date</t>
        </is>
      </c>
      <c r="B8" s="6" t="n">
        <v>46053</v>
      </c>
      <c r="G8" s="7" t="inlineStr">
        <is>
          <t>Automatic synthetic results</t>
        </is>
      </c>
    </row>
    <row r="9">
      <c r="A9" s="4" t="inlineStr">
        <is>
          <t>Age (years)</t>
        </is>
      </c>
      <c r="B9" s="8" t="n">
        <v>65</v>
      </c>
      <c r="G9" s="9" t="inlineStr">
        <is>
          <t>Baseline/current weight</t>
        </is>
      </c>
      <c r="H9" s="10">
        <f>'Results'!B9</f>
        <v/>
      </c>
      <c r="J9" s="9" t="inlineStr">
        <is>
          <t>3-month illustrative output</t>
        </is>
      </c>
      <c r="K9" s="11">
        <f>'Results'!B25</f>
        <v/>
      </c>
    </row>
    <row r="10">
      <c r="A10" s="4" t="inlineStr">
        <is>
          <t>Sex</t>
        </is>
      </c>
      <c r="B10" s="8" t="inlineStr">
        <is>
          <t>female</t>
        </is>
      </c>
      <c r="G10" s="9" t="inlineStr">
        <is>
          <t>BMI</t>
        </is>
      </c>
      <c r="H10" s="12">
        <f>'Results'!B12</f>
        <v/>
      </c>
      <c r="J10" s="9" t="inlineStr">
        <is>
          <t>Band</t>
        </is>
      </c>
      <c r="K10" s="13">
        <f>'Results'!B26</f>
        <v/>
      </c>
    </row>
    <row r="11">
      <c r="A11" s="4" t="inlineStr">
        <is>
          <t>Cancer type</t>
        </is>
      </c>
      <c r="B11" s="8" t="inlineStr">
        <is>
          <t>lung</t>
        </is>
      </c>
      <c r="G11" s="9" t="inlineStr">
        <is>
          <t>Weight loss</t>
        </is>
      </c>
      <c r="H11" s="14">
        <f>'Results'!B13</f>
        <v/>
      </c>
      <c r="J11" s="9" t="inlineStr">
        <is>
          <t>Explanation</t>
        </is>
      </c>
      <c r="K11" s="13">
        <f>'Results'!B27</f>
        <v/>
      </c>
    </row>
    <row r="12">
      <c r="A12" s="4" t="inlineStr">
        <is>
          <t>Cancer subtype</t>
        </is>
      </c>
      <c r="B12" s="8" t="inlineStr">
        <is>
          <t>NSCLC</t>
        </is>
      </c>
      <c r="G12" s="9" t="inlineStr">
        <is>
          <t>Interval</t>
        </is>
      </c>
      <c r="H12" s="15">
        <f>'Results'!B14</f>
        <v/>
      </c>
    </row>
    <row r="13">
      <c r="A13" s="4" t="inlineStr">
        <is>
          <t>Cancer stage</t>
        </is>
      </c>
      <c r="B13" s="8" t="inlineStr">
        <is>
          <t>III</t>
        </is>
      </c>
      <c r="G13" s="9" t="inlineStr">
        <is>
          <t>Weight-loss rate</t>
        </is>
      </c>
      <c r="H13" s="16">
        <f>'Results'!B15</f>
        <v/>
      </c>
      <c r="J13" s="9" t="inlineStr">
        <is>
          <t>6-month illustrative output</t>
        </is>
      </c>
      <c r="K13" s="11">
        <f>'Results'!D25</f>
        <v/>
      </c>
    </row>
    <row r="14">
      <c r="A14" s="4" t="inlineStr">
        <is>
          <t>Height (cm; blank = unknown)</t>
        </is>
      </c>
      <c r="B14" s="8" t="n">
        <v>170</v>
      </c>
      <c r="G14" s="9" t="inlineStr">
        <is>
          <t>Trajectory</t>
        </is>
      </c>
      <c r="H14" s="13">
        <f>'Results'!B17</f>
        <v/>
      </c>
      <c r="J14" s="9" t="inlineStr">
        <is>
          <t>Band</t>
        </is>
      </c>
      <c r="K14" s="13">
        <f>'Results'!D26</f>
        <v/>
      </c>
    </row>
    <row r="15">
      <c r="A15" s="4" t="inlineStr">
        <is>
          <t>ECOG</t>
        </is>
      </c>
      <c r="B15" s="8" t="inlineStr">
        <is>
          <t>2</t>
        </is>
      </c>
      <c r="J15" s="9" t="inlineStr">
        <is>
          <t>Explanation</t>
        </is>
      </c>
      <c r="K15" s="13">
        <f>'Results'!D27</f>
        <v/>
      </c>
    </row>
    <row r="16">
      <c r="A16" s="4" t="inlineStr">
        <is>
          <t>Reduced appetite</t>
        </is>
      </c>
      <c r="B16" s="8" t="inlineStr">
        <is>
          <t>no</t>
        </is>
      </c>
      <c r="G16" s="9" t="inlineStr">
        <is>
          <t>Implemented cachexia criteria met?</t>
        </is>
      </c>
      <c r="H16" s="13">
        <f>'Results'!B19</f>
        <v/>
      </c>
    </row>
    <row r="17">
      <c r="A17" s="4" t="inlineStr">
        <is>
          <t>Documented sarcopenia evidence</t>
        </is>
      </c>
      <c r="B17" s="8" t="inlineStr">
        <is>
          <t>unknown</t>
        </is>
      </c>
      <c r="G17" s="9" t="inlineStr">
        <is>
          <t>Provisional early-risk pattern met?</t>
        </is>
      </c>
      <c r="H17" s="13">
        <f>'Results'!B20</f>
        <v/>
      </c>
    </row>
    <row r="18"/>
    <row r="19"/>
    <row r="20">
      <c r="A20" s="17" t="inlineStr">
        <is>
          <t>Dated weight history (predictors use only dates &lt;= prediction date)</t>
        </is>
      </c>
      <c r="G20" s="18" t="inlineStr">
        <is>
          <t>Rules shown in plain language
Implemented cachexia criteria: &gt;5% weight loss, &gt;2% weight loss with BMI &lt;20 kg/m², or &gt;2% loss with documented sarcopenia. For sarcopenia, no=assessed and absent; unknown=not documented. It is never inferred and has no simulated risk coefficient.
Provisional early-risk pattern: cachexia criteria not met, &gt;1% and &lt;=5% weight loss, and reduced appetite=yes. This project proposal requires clinical review.</t>
        </is>
      </c>
    </row>
    <row r="21">
      <c r="A21" s="5" t="inlineStr">
        <is>
          <t>Measurement date</t>
        </is>
      </c>
      <c r="B21" s="5" t="inlineStr">
        <is>
          <t>Weight (kg)</t>
        </is>
      </c>
      <c r="C21" s="5" t="inlineStr">
        <is>
          <t>Baseline candidate</t>
        </is>
      </c>
      <c r="D21" s="5" t="inlineStr">
        <is>
          <t>Prior candidate</t>
        </is>
      </c>
      <c r="E21" s="5" t="inlineStr">
        <is>
          <t>Eligibility note</t>
        </is>
      </c>
    </row>
    <row r="22">
      <c r="A22" s="19" t="n">
        <v>45869</v>
      </c>
      <c r="B22" s="13" t="n">
        <v>80</v>
      </c>
      <c r="C22" s="4">
        <f>IF(AND(ISNUMBER(A22),ISNUMBER(B22),A22&lt;=$B$8,B22&gt;='Assumptions'!$B$18,B22&lt;='Assumptions'!$B$19),A22,0)</f>
        <v/>
      </c>
      <c r="D22" s="4">
        <f>IF(AND(ISNUMBER(A22),ISNUMBER(B22),'Results'!$B$8&lt;&gt;"",A22&lt;'Results'!$B$8,A22&gt;=EDATE('Results'!$B$8,-6),B22&gt;='Assumptions'!$B$18,B22&lt;='Assumptions'!$B$19),A22,DATE(9999,12,31))</f>
        <v/>
      </c>
      <c r="E22" s="4">
        <f>IF(OR(A22="",B22=""),"incomplete / ignored",IF(A22&lt;=$B$8,"baseline-eligible","outcome-only / excluded from predictors"))</f>
        <v/>
      </c>
    </row>
    <row r="23">
      <c r="A23" s="20" t="n">
        <v>46053</v>
      </c>
      <c r="B23" s="5" t="n">
        <v>76</v>
      </c>
      <c r="C23" s="5">
        <f>IF(AND(ISNUMBER(A23),ISNUMBER(B23),A23&lt;=$B$8,B23&gt;='Assumptions'!$B$18,B23&lt;='Assumptions'!$B$19),A23,0)</f>
        <v/>
      </c>
      <c r="D23" s="5">
        <f>IF(AND(ISNUMBER(A23),ISNUMBER(B23),'Results'!$B$8&lt;&gt;"",A23&lt;'Results'!$B$8,A23&gt;=EDATE('Results'!$B$8,-6),B23&gt;='Assumptions'!$B$18,B23&lt;='Assumptions'!$B$19),A23,DATE(9999,12,31))</f>
        <v/>
      </c>
      <c r="E23" s="5">
        <f>IF(OR(A23="",B23=""),"incomplete / ignored",IF(A23&lt;=$B$8,"baseline-eligible","outcome-only / excluded from predictors"))</f>
        <v/>
      </c>
    </row>
    <row r="24">
      <c r="A24" s="21" t="n"/>
      <c r="B24" s="22" t="n"/>
      <c r="C24" s="4">
        <f>IF(AND(ISNUMBER(A24),ISNUMBER(B24),A24&lt;=$B$8,B24&gt;='Assumptions'!$B$18,B24&lt;='Assumptions'!$B$19),A24,0)</f>
        <v/>
      </c>
      <c r="D24" s="4">
        <f>IF(AND(ISNUMBER(A24),ISNUMBER(B24),'Results'!$B$8&lt;&gt;"",A24&lt;'Results'!$B$8,A24&gt;=EDATE('Results'!$B$8,-6),B24&gt;='Assumptions'!$B$18,B24&lt;='Assumptions'!$B$19),A24,DATE(9999,12,31))</f>
        <v/>
      </c>
      <c r="E24" s="4">
        <f>IF(OR(A24="",B24=""),"incomplete / ignored",IF(A24&lt;=$B$8,"baseline-eligible","outcome-only / excluded from predictors"))</f>
        <v/>
      </c>
    </row>
    <row r="25">
      <c r="A25" s="21" t="n"/>
      <c r="B25" s="22" t="n"/>
      <c r="C25" s="4">
        <f>IF(AND(ISNUMBER(A25),ISNUMBER(B25),A25&lt;=$B$8,B25&gt;='Assumptions'!$B$18,B25&lt;='Assumptions'!$B$19),A25,0)</f>
        <v/>
      </c>
      <c r="D25" s="4">
        <f>IF(AND(ISNUMBER(A25),ISNUMBER(B25),'Results'!$B$8&lt;&gt;"",A25&lt;'Results'!$B$8,A25&gt;=EDATE('Results'!$B$8,-6),B25&gt;='Assumptions'!$B$18,B25&lt;='Assumptions'!$B$19),A25,DATE(9999,12,31))</f>
        <v/>
      </c>
      <c r="E25" s="4">
        <f>IF(OR(A25="",B25=""),"incomplete / ignored",IF(A25&lt;=$B$8,"baseline-eligible","outcome-only / excluded from predictors"))</f>
        <v/>
      </c>
    </row>
    <row r="26">
      <c r="A26" s="21" t="n"/>
      <c r="B26" s="22" t="n"/>
      <c r="C26" s="4">
        <f>IF(AND(ISNUMBER(A26),ISNUMBER(B26),A26&lt;=$B$8,B26&gt;='Assumptions'!$B$18,B26&lt;='Assumptions'!$B$19),A26,0)</f>
        <v/>
      </c>
      <c r="D26" s="4">
        <f>IF(AND(ISNUMBER(A26),ISNUMBER(B26),'Results'!$B$8&lt;&gt;"",A26&lt;'Results'!$B$8,A26&gt;=EDATE('Results'!$B$8,-6),B26&gt;='Assumptions'!$B$18,B26&lt;='Assumptions'!$B$19),A26,DATE(9999,12,31))</f>
        <v/>
      </c>
      <c r="E26" s="4">
        <f>IF(OR(A26="",B26=""),"incomplete / ignored",IF(A26&lt;=$B$8,"baseline-eligible","outcome-only / excluded from predictors"))</f>
        <v/>
      </c>
    </row>
    <row r="27">
      <c r="A27" s="21" t="n"/>
      <c r="B27" s="22" t="n"/>
      <c r="C27" s="4">
        <f>IF(AND(ISNUMBER(A27),ISNUMBER(B27),A27&lt;=$B$8,B27&gt;='Assumptions'!$B$18,B27&lt;='Assumptions'!$B$19),A27,0)</f>
        <v/>
      </c>
      <c r="D27" s="4">
        <f>IF(AND(ISNUMBER(A27),ISNUMBER(B27),'Results'!$B$8&lt;&gt;"",A27&lt;'Results'!$B$8,A27&gt;=EDATE('Results'!$B$8,-6),B27&gt;='Assumptions'!$B$18,B27&lt;='Assumptions'!$B$19),A27,DATE(9999,12,31))</f>
        <v/>
      </c>
      <c r="E27" s="4">
        <f>IF(OR(A27="",B27=""),"incomplete / ignored",IF(A27&lt;=$B$8,"baseline-eligible","outcome-only / excluded from predictors"))</f>
        <v/>
      </c>
    </row>
    <row r="28">
      <c r="A28" s="21" t="n"/>
      <c r="B28" s="22" t="n"/>
      <c r="C28" s="4">
        <f>IF(AND(ISNUMBER(A28),ISNUMBER(B28),A28&lt;=$B$8,B28&gt;='Assumptions'!$B$18,B28&lt;='Assumptions'!$B$19),A28,0)</f>
        <v/>
      </c>
      <c r="D28" s="4">
        <f>IF(AND(ISNUMBER(A28),ISNUMBER(B28),'Results'!$B$8&lt;&gt;"",A28&lt;'Results'!$B$8,A28&gt;=EDATE('Results'!$B$8,-6),B28&gt;='Assumptions'!$B$18,B28&lt;='Assumptions'!$B$19),A28,DATE(9999,12,31))</f>
        <v/>
      </c>
      <c r="E28" s="4">
        <f>IF(OR(A28="",B28=""),"incomplete / ignored",IF(A28&lt;=$B$8,"baseline-eligible","outcome-only / excluded from predictors"))</f>
        <v/>
      </c>
    </row>
    <row r="29">
      <c r="A29" s="21" t="n"/>
      <c r="B29" s="22" t="n"/>
      <c r="C29" s="4">
        <f>IF(AND(ISNUMBER(A29),ISNUMBER(B29),A29&lt;=$B$8,B29&gt;='Assumptions'!$B$18,B29&lt;='Assumptions'!$B$19),A29,0)</f>
        <v/>
      </c>
      <c r="D29" s="4">
        <f>IF(AND(ISNUMBER(A29),ISNUMBER(B29),'Results'!$B$8&lt;&gt;"",A29&lt;'Results'!$B$8,A29&gt;=EDATE('Results'!$B$8,-6),B29&gt;='Assumptions'!$B$18,B29&lt;='Assumptions'!$B$19),A29,DATE(9999,12,31))</f>
        <v/>
      </c>
      <c r="E29" s="4">
        <f>IF(OR(A29="",B29=""),"incomplete / ignored",IF(A29&lt;=$B$8,"baseline-eligible","outcome-only / excluded from predictors"))</f>
        <v/>
      </c>
    </row>
    <row r="30">
      <c r="A30" s="21" t="n"/>
      <c r="B30" s="22" t="n"/>
      <c r="C30" s="4">
        <f>IF(AND(ISNUMBER(A30),ISNUMBER(B30),A30&lt;=$B$8,B30&gt;='Assumptions'!$B$18,B30&lt;='Assumptions'!$B$19),A30,0)</f>
        <v/>
      </c>
      <c r="D30" s="4">
        <f>IF(AND(ISNUMBER(A30),ISNUMBER(B30),'Results'!$B$8&lt;&gt;"",A30&lt;'Results'!$B$8,A30&gt;=EDATE('Results'!$B$8,-6),B30&gt;='Assumptions'!$B$18,B30&lt;='Assumptions'!$B$19),A30,DATE(9999,12,31))</f>
        <v/>
      </c>
      <c r="E30" s="4">
        <f>IF(OR(A30="",B30=""),"incomplete / ignored",IF(A30&lt;=$B$8,"baseline-eligible","outcome-only / excluded from predictors"))</f>
        <v/>
      </c>
    </row>
    <row r="31">
      <c r="A31" s="21" t="n"/>
      <c r="B31" s="22" t="n"/>
      <c r="C31" s="4">
        <f>IF(AND(ISNUMBER(A31),ISNUMBER(B31),A31&lt;=$B$8,B31&gt;='Assumptions'!$B$18,B31&lt;='Assumptions'!$B$19),A31,0)</f>
        <v/>
      </c>
      <c r="D31" s="4">
        <f>IF(AND(ISNUMBER(A31),ISNUMBER(B31),'Results'!$B$8&lt;&gt;"",A31&lt;'Results'!$B$8,A31&gt;=EDATE('Results'!$B$8,-6),B31&gt;='Assumptions'!$B$18,B31&lt;='Assumptions'!$B$19),A31,DATE(9999,12,31))</f>
        <v/>
      </c>
      <c r="E31" s="4">
        <f>IF(OR(A31="",B31=""),"incomplete / ignored",IF(A31&lt;=$B$8,"baseline-eligible","outcome-only / excluded from predictors"))</f>
        <v/>
      </c>
    </row>
    <row r="32">
      <c r="A32" s="21" t="n"/>
      <c r="B32" s="22" t="n"/>
      <c r="C32" s="4">
        <f>IF(AND(ISNUMBER(A32),ISNUMBER(B32),A32&lt;=$B$8,B32&gt;='Assumptions'!$B$18,B32&lt;='Assumptions'!$B$19),A32,0)</f>
        <v/>
      </c>
      <c r="D32" s="4">
        <f>IF(AND(ISNUMBER(A32),ISNUMBER(B32),'Results'!$B$8&lt;&gt;"",A32&lt;'Results'!$B$8,A32&gt;=EDATE('Results'!$B$8,-6),B32&gt;='Assumptions'!$B$18,B32&lt;='Assumptions'!$B$19),A32,DATE(9999,12,31))</f>
        <v/>
      </c>
      <c r="E32" s="4">
        <f>IF(OR(A32="",B32=""),"incomplete / ignored",IF(A32&lt;=$B$8,"baseline-eligible","outcome-only / excluded from predictors"))</f>
        <v/>
      </c>
    </row>
    <row r="33">
      <c r="A33" s="21" t="n"/>
      <c r="B33" s="22" t="n"/>
      <c r="C33" s="4">
        <f>IF(AND(ISNUMBER(A33),ISNUMBER(B33),A33&lt;=$B$8,B33&gt;='Assumptions'!$B$18,B33&lt;='Assumptions'!$B$19),A33,0)</f>
        <v/>
      </c>
      <c r="D33" s="4">
        <f>IF(AND(ISNUMBER(A33),ISNUMBER(B33),'Results'!$B$8&lt;&gt;"",A33&lt;'Results'!$B$8,A33&gt;=EDATE('Results'!$B$8,-6),B33&gt;='Assumptions'!$B$18,B33&lt;='Assumptions'!$B$19),A33,DATE(9999,12,31))</f>
        <v/>
      </c>
      <c r="E33" s="4">
        <f>IF(OR(A33="",B33=""),"incomplete / ignored",IF(A33&lt;=$B$8,"baseline-eligible","outcome-only / excluded from predictors"))</f>
        <v/>
      </c>
    </row>
  </sheetData>
  <mergeCells count="5">
    <mergeCell ref="G20:L23"/>
    <mergeCell ref="A4:H5"/>
    <mergeCell ref="A2:H2"/>
    <mergeCell ref="G8:L8"/>
    <mergeCell ref="A1:H1"/>
  </mergeCells>
  <dataValidations count="10">
    <dataValidation sqref="B10" showDropDown="0" showInputMessage="1" showErrorMessage="1" allowBlank="0" errorTitle="Invalid category" error="Choose a value from the list; unknown is distinct from no." promptTitle="Validated input" prompt="Select a permitted value." type="list">
      <formula1>"female,male,unknown"</formula1>
    </dataValidation>
    <dataValidation sqref="B11" showDropDown="0" showInputMessage="1" showErrorMessage="1" allowBlank="0" errorTitle="Invalid category" error="Choose a value from the list; unknown is distinct from no." promptTitle="Validated input" prompt="Select a permitted value." type="list">
      <formula1>"lung,colorectal,oesophageal,gastric,pancreatic,hepatobiliary,head and neck,breast,prostate,other solid tumour"</formula1>
    </dataValidation>
    <dataValidation sqref="B13" showDropDown="0" showInputMessage="1" showErrorMessage="1" allowBlank="0" errorTitle="Invalid category" error="Choose a value from the list; unknown is distinct from no." promptTitle="Validated input" prompt="Select a permitted value." type="list">
      <formula1>"I,II,III,IV,unknown"</formula1>
    </dataValidation>
    <dataValidation sqref="B15" showDropDown="0" showInputMessage="1" showErrorMessage="1" allowBlank="0" errorTitle="Invalid category" error="Choose a value from the list; unknown is distinct from no." promptTitle="Validated input" prompt="Select a permitted value." type="list">
      <formula1>"0,1,2,3,4,unknown"</formula1>
    </dataValidation>
    <dataValidation sqref="B16" showDropDown="0" showInputMessage="1" showErrorMessage="1" allowBlank="0" errorTitle="Invalid category" error="Choose a value from the list; unknown is distinct from no." promptTitle="Validated input" prompt="Select a permitted value." type="list">
      <formula1>"yes,no,unknown"</formula1>
    </dataValidation>
    <dataValidation sqref="B17" showDropDown="0" showInputMessage="1" showErrorMessage="1" allowBlank="0" errorTitle="Invalid category" error="Choose a value from the list; unknown is distinct from no." promptTitle="Validated input" prompt="Select a permitted value." type="list">
      <formula1>"yes,no,unknown"</formula1>
    </dataValidation>
    <dataValidation sqref="B9" showDropDown="0" showInputMessage="0" showErrorMessage="1" allowBlank="0" errorTitle="Invalid age" error="Enter a whole-number age within the configured range." type="whole" errorStyle="stop" operator="between">
      <formula1>18</formula1>
      <formula2>95</formula2>
    </dataValidation>
    <dataValidation sqref="B14" showDropDown="0" showInputMessage="0" showErrorMessage="1" allowBlank="1" errorTitle="Invalid height" error="Enter a height within the configured range or leave it blank." type="decimal" errorStyle="stop" operator="between">
      <formula1>140</formula1>
      <formula2>200</formula2>
    </dataValidation>
    <dataValidation sqref="B22:B33" showDropDown="0" showInputMessage="0" showErrorMessage="1" allowBlank="1" errorTitle="Invalid weight" error="Enter a weight within the configured range or clear both cells in the row." type="decimal" errorStyle="stop" operator="between">
      <formula1>25</formula1>
      <formula2>160</formula2>
    </dataValidation>
    <dataValidation sqref="A22:A33" showDropDown="0" showInputMessage="0" showErrorMessage="1" allowBlank="1" errorTitle="Invalid measurement date" error="Enter a valid measurement date or clear both cells in the row." type="date" errorStyle="stop" operator="between">
      <formula1>DATE(2000,1,1)</formula1>
      <formula2>DATE(2100,12,31)</formula2>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30"/>
  <sheetViews>
    <sheetView workbookViewId="0">
      <selection activeCell="A1" sqref="A1"/>
    </sheetView>
  </sheetViews>
  <sheetFormatPr baseColWidth="8" defaultRowHeight="15"/>
  <cols>
    <col width="40" customWidth="1" min="1" max="1"/>
    <col width="34" customWidth="1" min="2" max="2"/>
    <col width="4" customWidth="1" min="3" max="3"/>
    <col width="34" customWidth="1" min="4" max="4"/>
    <col width="14" customWidth="1" min="5" max="5"/>
    <col width="14" customWidth="1" min="6" max="6"/>
    <col width="14" customWidth="1" min="7" max="7"/>
    <col width="14" customWidth="1" min="8" max="8"/>
  </cols>
  <sheetData>
    <row r="1" ht="32" customHeight="1">
      <c r="A1" s="1" t="inlineStr">
        <is>
          <t>Calculated synthetic outputs</t>
        </is>
      </c>
    </row>
    <row r="2" ht="34" customHeight="1">
      <c r="A2" s="2" t="inlineStr">
        <is>
          <t>Excel 2019 / Microsoft 365 formulas. Blank means not calculable; unknown is not no.</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row r="8">
      <c r="A8" s="9" t="inlineStr">
        <is>
          <t>Baseline weight date</t>
        </is>
      </c>
      <c r="B8" s="19">
        <f>IF(MAX('Calculator'!$C$22:$C$33)=0,"",MAX('Calculator'!$C$22:$C$33))</f>
        <v/>
      </c>
      <c r="D8" s="22" t="n"/>
    </row>
    <row r="9">
      <c r="A9" s="9" t="inlineStr">
        <is>
          <t>Baseline/current weight (kg)</t>
        </is>
      </c>
      <c r="B9" s="13">
        <f>IF(B8="","",IF(COUNTIFS('Calculator'!$A$22:$A$33,B8,'Calculator'!$B$22:$B$33,"&gt;="&amp;'Assumptions'!$B$18,'Calculator'!$B$22:$B$33,"&lt;="&amp;'Assumptions'!$B$19)&lt;&gt;1,"",SUMIFS('Calculator'!$B$22:$B$33,'Calculator'!$A$22:$A$33,B8,'Calculator'!$B$22:$B$33,"&gt;="&amp;'Assumptions'!$B$18,'Calculator'!$B$22:$B$33,"&lt;="&amp;'Assumptions'!$B$19)))</f>
        <v/>
      </c>
      <c r="D9" s="22" t="n"/>
    </row>
    <row r="10">
      <c r="A10" s="9" t="inlineStr">
        <is>
          <t>Prior comparison date</t>
        </is>
      </c>
      <c r="B10" s="19">
        <f>IF(OR(B8="",MIN('Calculator'!$D$22:$D$33)=DATE(9999,12,31)),"",MIN('Calculator'!$D$22:$D$33))</f>
        <v/>
      </c>
      <c r="D10" s="22" t="n"/>
    </row>
    <row r="11">
      <c r="A11" s="9" t="inlineStr">
        <is>
          <t>Prior comparison weight (kg)</t>
        </is>
      </c>
      <c r="B11" s="13">
        <f>IF(B10="","",IF(COUNTIFS('Calculator'!$A$22:$A$33,B10,'Calculator'!$B$22:$B$33,"&gt;="&amp;'Assumptions'!$B$18,'Calculator'!$B$22:$B$33,"&lt;="&amp;'Assumptions'!$B$19)&lt;&gt;1,"",SUMIFS('Calculator'!$B$22:$B$33,'Calculator'!$A$22:$A$33,B10,'Calculator'!$B$22:$B$33,"&gt;="&amp;'Assumptions'!$B$18,'Calculator'!$B$22:$B$33,"&lt;="&amp;'Assumptions'!$B$19)))</f>
        <v/>
      </c>
      <c r="D11" s="22" t="n"/>
    </row>
    <row r="12">
      <c r="A12" s="9" t="inlineStr">
        <is>
          <t>BMI (kg/m²)</t>
        </is>
      </c>
      <c r="B12" s="12">
        <f>IF(OR(B9="",'Calculator'!B14=""),"",B9/('Calculator'!B14/100)^2)</f>
        <v/>
      </c>
      <c r="D12" s="22" t="n"/>
    </row>
    <row r="13">
      <c r="A13" s="9" t="inlineStr">
        <is>
          <t>Percentage weight loss (+ = loss)</t>
        </is>
      </c>
      <c r="B13" s="12">
        <f>IF(OR(B9="",B11=""),"",((B11-B9)/B11)*100)</f>
        <v/>
      </c>
      <c r="D13" s="22" t="n"/>
    </row>
    <row r="14">
      <c r="A14" s="9" t="inlineStr">
        <is>
          <t>Interval (days)</t>
        </is>
      </c>
      <c r="B14" s="13">
        <f>IF(OR(B8="",B10=""),"",B8-B10)</f>
        <v/>
      </c>
      <c r="D14" s="22" t="n"/>
    </row>
    <row r="15">
      <c r="A15" s="9" t="inlineStr">
        <is>
          <t>Weight-loss rate (kg/month)</t>
        </is>
      </c>
      <c r="B15" s="12">
        <f>IF(OR(B9="",B11="",B14&lt;=0),"",(B11-B9)/(B14/'Assumptions'!$B$8))</f>
        <v/>
      </c>
      <c r="D15" s="22" t="n"/>
    </row>
    <row r="16">
      <c r="A16" s="9" t="inlineStr">
        <is>
          <t>Rate (percentage points/month)</t>
        </is>
      </c>
      <c r="B16" s="12">
        <f>IF(OR(B13="",B14&lt;=0),"",B13/(B14/'Assumptions'!$B$8))</f>
        <v/>
      </c>
      <c r="D16" s="22" t="n"/>
    </row>
    <row r="17">
      <c r="A17" s="9" t="inlineStr">
        <is>
          <t>Trajectory</t>
        </is>
      </c>
      <c r="B17" s="13">
        <f>IF(B13="","unknown",IF(B13&gt;'Assumptions'!$B$9,"loss",IF(B13&lt;-'Assumptions'!$B$9,"gain","stable")))</f>
        <v/>
      </c>
      <c r="D17" s="22" t="n"/>
    </row>
    <row r="18">
      <c r="A18" s="23" t="n"/>
      <c r="B18" s="22" t="n"/>
      <c r="D18" s="22" t="n"/>
    </row>
    <row r="19">
      <c r="A19" s="9" t="inlineStr">
        <is>
          <t>Implemented cachexia criteria met?</t>
        </is>
      </c>
      <c r="B19" s="13">
        <f>IF(B13="","unknown",IF(B13&gt;'Assumptions'!$B$10,"yes",IF(B13&lt;='Assumptions'!$B$11,"no",IF(AND(B12&lt;&gt;"",B12&lt;'Assumptions'!$B$12),"yes",IF('Calculator'!B17="yes","yes",IF(AND(B12&lt;&gt;"",B12&gt;='Assumptions'!$B$12,'Calculator'!B17="no"),"no","unknown"))))))</f>
        <v/>
      </c>
      <c r="D19" s="22" t="n"/>
    </row>
    <row r="20">
      <c r="A20" s="9" t="inlineStr">
        <is>
          <t>Provisional early-risk pattern met?</t>
        </is>
      </c>
      <c r="B20" s="13">
        <f>IF(B19="unknown","unknown",IF(B19="yes","no",IF(OR(B13&lt;='Assumptions'!$B$13,B13&gt;'Assumptions'!$B$14),"no",IF('Calculator'!B16="yes","yes",IF('Calculator'!B16="no","no","unknown")))))</f>
        <v/>
      </c>
      <c r="D20" s="22" t="n"/>
    </row>
    <row r="21">
      <c r="A21" s="23" t="n"/>
      <c r="B21" s="22" t="n"/>
      <c r="D21" s="22" t="n"/>
    </row>
    <row r="22">
      <c r="A22" s="23" t="n"/>
      <c r="B22" s="22" t="n"/>
      <c r="D22" s="22" t="n"/>
    </row>
    <row r="23">
      <c r="A23" s="5" t="inlineStr">
        <is>
          <t>Simulated horizon</t>
        </is>
      </c>
      <c r="B23" s="5" t="inlineStr">
        <is>
          <t>3 months</t>
        </is>
      </c>
      <c r="D23" s="5" t="inlineStr">
        <is>
          <t>6 months</t>
        </is>
      </c>
    </row>
    <row r="24">
      <c r="A24" s="9" t="inlineStr">
        <is>
          <t>Simulation score</t>
        </is>
      </c>
      <c r="B24" s="13">
        <f>IF(OR(B12="",B13=""),"",'Assumptions'!$B$20+IF('Calculator'!B9&gt;'Assumptions'!$B$15,'Assumptions'!$B$21,0)+VLOOKUP('Calculator'!B13,'Assumptions'!$H$8:$J$12,2,FALSE)+VLOOKUP('Calculator'!B15,'Assumptions'!$L$8:$N$13,2,FALSE)+VLOOKUP('Calculator'!B16,'Assumptions'!$P$8:$R$10,2,FALSE)+MAX(0,N(B13))*'Assumptions'!$B$22+IF(AND(B12&lt;&gt;"",B12&lt;'Assumptions'!$B$12),'Assumptions'!$B$23,0)+(VLOOKUP('Calculator'!B11,'Assumptions'!$E$8:$F$17,2,FALSE)-1)*'Assumptions'!$B$24)</f>
        <v/>
      </c>
      <c r="D24" s="13">
        <f>IF(OR(B12="",B13=""),"",'Assumptions'!$B$25+IF('Calculator'!B9&gt;'Assumptions'!$B$15,'Assumptions'!$B$26,0)+VLOOKUP('Calculator'!B13,'Assumptions'!$H$8:$J$12,3,FALSE)+VLOOKUP('Calculator'!B15,'Assumptions'!$L$8:$N$13,3,FALSE)+VLOOKUP('Calculator'!B16,'Assumptions'!$P$8:$R$10,3,FALSE)+MAX(0,N(B13))*'Assumptions'!$B$27+IF(AND(B12&lt;&gt;"",B12&lt;'Assumptions'!$B$12),'Assumptions'!$B$28,0)+(VLOOKUP('Calculator'!B11,'Assumptions'!$E$8:$F$17,2,FALSE)-1)*'Assumptions'!$B$29)</f>
        <v/>
      </c>
    </row>
    <row r="25">
      <c r="A25" s="9" t="inlineStr">
        <is>
          <t>Displayed estimate</t>
        </is>
      </c>
      <c r="B25" s="11">
        <f>IF(B24="","",1/(1+EXP(-B24)))</f>
        <v/>
      </c>
      <c r="D25" s="11">
        <f>IF(D24="","",1/(1+EXP(-D24)))</f>
        <v/>
      </c>
    </row>
    <row r="26">
      <c r="A26" s="9" t="inlineStr">
        <is>
          <t>Risk band</t>
        </is>
      </c>
      <c r="B26" s="13">
        <f>IF(B25="","unknown",IF(B25&lt;'Assumptions'!$B$16,"low",IF(B25&gt;='Assumptions'!$B$17,"high","medium")))</f>
        <v/>
      </c>
      <c r="D26" s="13">
        <f>IF(D25="","unknown",IF(D25&lt;'Assumptions'!$B$16,"low",IF(D25&gt;='Assumptions'!$B$17,"high","medium")))</f>
        <v/>
      </c>
    </row>
    <row r="27">
      <c r="A27" s="9" t="inlineStr">
        <is>
          <t>Factor explanation</t>
        </is>
      </c>
      <c r="B27" s="13">
        <f>IF(OR(B12="",B13=""),"Estimate withheld: BMI and baseline weight change are required.",TRIM(IF('Calculator'!B9&gt;'Assumptions'!$B$15,"age &gt;55; ","")&amp;IF(B13&gt;0,"baseline loss "&amp;TEXT(B13,"0.0")&amp;"%; ","")&amp;IF(AND(B12&lt;&gt;"",B12&lt;'Assumptions'!$B$12),"BMI &lt;20; ","")&amp;"stage "&amp;'Calculator'!B13&amp;"; ECOG "&amp;'Calculator'!B15&amp;"; appetite="&amp;'Calculator'!B16&amp;"; "&amp;'Calculator'!B11))</f>
        <v/>
      </c>
      <c r="D27" s="13">
        <f>IF(OR(B12="",B13=""),"Estimate withheld: BMI and baseline weight change are required.",TRIM(IF('Calculator'!B9&gt;'Assumptions'!$B$15,"age &gt;55; ","")&amp;IF(B13&gt;0,"baseline loss "&amp;TEXT(B13,"0.0")&amp;"%; ","")&amp;IF(AND(B12&lt;&gt;"",B12&lt;'Assumptions'!$B$12),"BMI &lt;20; ","")&amp;"stage "&amp;'Calculator'!B13&amp;"; ECOG "&amp;'Calculator'!B15&amp;"; appetite="&amp;'Calculator'!B16&amp;"; "&amp;'Calculator'!B11))</f>
        <v/>
      </c>
    </row>
    <row r="28"/>
    <row r="29">
      <c r="A29" s="4" t="inlineStr">
        <is>
          <t>Interpretation</t>
        </is>
      </c>
      <c r="B29" s="4" t="inlineStr">
        <is>
          <t>These are deterministic simulation outputs, not calibrated probabilities. Changing six-month assumptions does not change the three-month formula.</t>
        </is>
      </c>
    </row>
    <row r="30"/>
  </sheetData>
  <mergeCells count="4">
    <mergeCell ref="B29:H30"/>
    <mergeCell ref="A2:H2"/>
    <mergeCell ref="A4:H5"/>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29"/>
  <sheetViews>
    <sheetView workbookViewId="0">
      <pane ySplit="7" topLeftCell="A8" activePane="bottomLeft" state="frozen"/>
      <selection pane="bottomLeft" activeCell="A1" sqref="A1"/>
    </sheetView>
  </sheetViews>
  <sheetFormatPr baseColWidth="8" defaultRowHeight="15"/>
  <cols>
    <col width="20" customWidth="1" min="1" max="1"/>
    <col width="20" customWidth="1" min="2" max="2"/>
    <col width="32"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 width="20" customWidth="1" min="12" max="12"/>
    <col width="20" customWidth="1" min="13" max="13"/>
    <col width="20" customWidth="1" min="14" max="14"/>
    <col width="20" customWidth="1" min="15" max="15"/>
    <col width="20" customWidth="1" min="16" max="16"/>
    <col width="20" customWidth="1" min="17" max="17"/>
    <col width="20" customWidth="1" min="18" max="18"/>
  </cols>
  <sheetData>
    <row r="1" ht="32" customHeight="1">
      <c r="A1" s="1" t="inlineStr">
        <is>
          <t>Central simulation assumptions</t>
        </is>
      </c>
    </row>
    <row r="2" ht="34" customHeight="1">
      <c r="A2" s="2" t="inlineStr">
        <is>
          <t>Editable for research scenarios only. Values are not validated clinical effects.</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c r="A6" s="4" t="inlineStr">
        <is>
          <t>Key</t>
        </is>
      </c>
      <c r="B6" s="4" t="inlineStr">
        <is>
          <t>Value</t>
        </is>
      </c>
      <c r="C6" s="4" t="inlineStr">
        <is>
          <t>Status / source</t>
        </is>
      </c>
    </row>
    <row r="7">
      <c r="E7" s="5" t="inlineStr">
        <is>
          <t>Cancer type</t>
        </is>
      </c>
      <c r="F7" s="5" t="inlineStr">
        <is>
          <t>Illustrative multiplier</t>
        </is>
      </c>
      <c r="H7" s="5" t="inlineStr">
        <is>
          <t>Stage</t>
        </is>
      </c>
      <c r="I7" s="5" t="inlineStr">
        <is>
          <t>3m term</t>
        </is>
      </c>
      <c r="J7" s="5" t="inlineStr">
        <is>
          <t>6m term</t>
        </is>
      </c>
      <c r="L7" s="5" t="inlineStr">
        <is>
          <t>ECOG</t>
        </is>
      </c>
      <c r="M7" s="5" t="inlineStr">
        <is>
          <t>3m term</t>
        </is>
      </c>
      <c r="N7" s="5" t="inlineStr">
        <is>
          <t>6m term</t>
        </is>
      </c>
      <c r="P7" s="5" t="inlineStr">
        <is>
          <t>Appetite</t>
        </is>
      </c>
      <c r="Q7" s="5" t="inlineStr">
        <is>
          <t>3m term</t>
        </is>
      </c>
      <c r="R7" s="5" t="inlineStr">
        <is>
          <t>6m term</t>
        </is>
      </c>
    </row>
    <row r="8">
      <c r="A8" s="4" t="inlineStr">
        <is>
          <t>DaysPerMonth</t>
        </is>
      </c>
      <c r="B8" s="4" t="n">
        <v>30.4375</v>
      </c>
      <c r="C8" s="4" t="inlineStr">
        <is>
          <t>Operational normalization</t>
        </is>
      </c>
      <c r="E8" s="4" t="inlineStr">
        <is>
          <t>lung</t>
        </is>
      </c>
      <c r="F8" s="4" t="n">
        <v>1.6</v>
      </c>
      <c r="H8" s="4" t="inlineStr">
        <is>
          <t>I</t>
        </is>
      </c>
      <c r="I8" s="4" t="n">
        <v>0</v>
      </c>
      <c r="J8" s="4" t="n">
        <v>0</v>
      </c>
      <c r="L8" s="4" t="inlineStr">
        <is>
          <t>0</t>
        </is>
      </c>
      <c r="M8" s="4" t="n">
        <v>-0.3</v>
      </c>
      <c r="N8" s="4" t="n">
        <v>-0.25</v>
      </c>
      <c r="P8" s="4" t="inlineStr">
        <is>
          <t>yes</t>
        </is>
      </c>
      <c r="Q8" s="4" t="n">
        <v>0.75</v>
      </c>
      <c r="R8" s="4" t="n">
        <v>0.8</v>
      </c>
    </row>
    <row r="9">
      <c r="A9" s="4" t="inlineStr">
        <is>
          <t>TrajectoryEpsilon</t>
        </is>
      </c>
      <c r="B9" s="4" t="n">
        <v>0.5</v>
      </c>
      <c r="C9" s="4" t="inlineStr">
        <is>
          <t>Simulation assumption</t>
        </is>
      </c>
      <c r="E9" s="4" t="inlineStr">
        <is>
          <t>colorectal</t>
        </is>
      </c>
      <c r="F9" s="4" t="n">
        <v>1.3</v>
      </c>
      <c r="H9" s="4" t="inlineStr">
        <is>
          <t>II</t>
        </is>
      </c>
      <c r="I9" s="4" t="n">
        <v>0.2</v>
      </c>
      <c r="J9" s="4" t="n">
        <v>0.2</v>
      </c>
      <c r="L9" s="4" t="inlineStr">
        <is>
          <t>1</t>
        </is>
      </c>
      <c r="M9" s="4" t="n">
        <v>0</v>
      </c>
      <c r="N9" s="4" t="n">
        <v>0</v>
      </c>
      <c r="P9" s="4" t="inlineStr">
        <is>
          <t>no</t>
        </is>
      </c>
      <c r="Q9" s="4" t="n">
        <v>0</v>
      </c>
      <c r="R9" s="4" t="n">
        <v>0</v>
      </c>
    </row>
    <row r="10">
      <c r="A10" s="4" t="inlineStr">
        <is>
          <t>FearonPrimary</t>
        </is>
      </c>
      <c r="B10" s="4" t="n">
        <v>5</v>
      </c>
      <c r="C10" s="4" t="inlineStr">
        <is>
          <t>Implemented criterion boundary</t>
        </is>
      </c>
      <c r="E10" s="4" t="inlineStr">
        <is>
          <t>oesophageal</t>
        </is>
      </c>
      <c r="F10" s="4" t="n">
        <v>1.8</v>
      </c>
      <c r="H10" s="4" t="inlineStr">
        <is>
          <t>III</t>
        </is>
      </c>
      <c r="I10" s="4" t="n">
        <v>0.5</v>
      </c>
      <c r="J10" s="4" t="n">
        <v>0.5</v>
      </c>
      <c r="L10" s="4" t="inlineStr">
        <is>
          <t>2</t>
        </is>
      </c>
      <c r="M10" s="4" t="n">
        <v>0.35</v>
      </c>
      <c r="N10" s="4" t="n">
        <v>0.4</v>
      </c>
      <c r="P10" s="4" t="inlineStr">
        <is>
          <t>unknown</t>
        </is>
      </c>
      <c r="Q10" s="4" t="n">
        <v>0.15</v>
      </c>
      <c r="R10" s="4" t="n">
        <v>0.15</v>
      </c>
    </row>
    <row r="11">
      <c r="A11" s="4" t="inlineStr">
        <is>
          <t>FearonConditional</t>
        </is>
      </c>
      <c r="B11" s="4" t="n">
        <v>2</v>
      </c>
      <c r="C11" s="4" t="inlineStr">
        <is>
          <t>Implemented criterion boundary</t>
        </is>
      </c>
      <c r="E11" s="4" t="inlineStr">
        <is>
          <t>gastric</t>
        </is>
      </c>
      <c r="F11" s="4" t="n">
        <v>1.8</v>
      </c>
      <c r="H11" s="4" t="inlineStr">
        <is>
          <t>IV</t>
        </is>
      </c>
      <c r="I11" s="4" t="n">
        <v>1</v>
      </c>
      <c r="J11" s="4" t="n">
        <v>1</v>
      </c>
      <c r="L11" s="4" t="inlineStr">
        <is>
          <t>3</t>
        </is>
      </c>
      <c r="M11" s="4" t="n">
        <v>0.7</v>
      </c>
      <c r="N11" s="4" t="n">
        <v>0.8</v>
      </c>
    </row>
    <row r="12">
      <c r="A12" s="4" t="inlineStr">
        <is>
          <t>FearonBMI</t>
        </is>
      </c>
      <c r="B12" s="4" t="n">
        <v>20</v>
      </c>
      <c r="C12" s="4" t="inlineStr">
        <is>
          <t>Implemented criterion boundary</t>
        </is>
      </c>
      <c r="E12" s="4" t="inlineStr">
        <is>
          <t>pancreatic</t>
        </is>
      </c>
      <c r="F12" s="4" t="n">
        <v>2</v>
      </c>
      <c r="H12" s="4" t="inlineStr">
        <is>
          <t>unknown</t>
        </is>
      </c>
      <c r="I12" s="4" t="n">
        <v>0</v>
      </c>
      <c r="J12" s="4" t="n">
        <v>0</v>
      </c>
      <c r="L12" s="4" t="inlineStr">
        <is>
          <t>4</t>
        </is>
      </c>
      <c r="M12" s="4" t="n">
        <v>1</v>
      </c>
      <c r="N12" s="4" t="n">
        <v>1.1</v>
      </c>
    </row>
    <row r="13">
      <c r="A13" s="4" t="inlineStr">
        <is>
          <t>PreLower</t>
        </is>
      </c>
      <c r="B13" s="4" t="n">
        <v>1</v>
      </c>
      <c r="C13" s="4" t="inlineStr">
        <is>
          <t>PROVISIONAL — review required</t>
        </is>
      </c>
      <c r="E13" s="4" t="inlineStr">
        <is>
          <t>hepatobiliary</t>
        </is>
      </c>
      <c r="F13" s="4" t="n">
        <v>2</v>
      </c>
      <c r="L13" s="4" t="inlineStr">
        <is>
          <t>unknown</t>
        </is>
      </c>
      <c r="M13" s="4" t="n">
        <v>0</v>
      </c>
      <c r="N13" s="4" t="n">
        <v>0</v>
      </c>
    </row>
    <row r="14">
      <c r="A14" s="4" t="inlineStr">
        <is>
          <t>PreUpper</t>
        </is>
      </c>
      <c r="B14" s="4" t="n">
        <v>5</v>
      </c>
      <c r="C14" s="4" t="inlineStr">
        <is>
          <t>PROVISIONAL — review required</t>
        </is>
      </c>
      <c r="E14" s="4" t="inlineStr">
        <is>
          <t>head and neck</t>
        </is>
      </c>
      <c r="F14" s="4" t="n">
        <v>1.6</v>
      </c>
    </row>
    <row r="15">
      <c r="A15" s="4" t="inlineStr">
        <is>
          <t>AgeThreshold</t>
        </is>
      </c>
      <c r="B15" s="4" t="n">
        <v>55</v>
      </c>
      <c r="C15" s="4" t="inlineStr">
        <is>
          <t>Simulation assumption</t>
        </is>
      </c>
      <c r="E15" s="4" t="inlineStr">
        <is>
          <t>breast</t>
        </is>
      </c>
      <c r="F15" s="4" t="n">
        <v>1</v>
      </c>
    </row>
    <row r="16">
      <c r="A16" s="4" t="inlineStr">
        <is>
          <t>BandLow</t>
        </is>
      </c>
      <c r="B16" s="4" t="n">
        <v>0.3</v>
      </c>
      <c r="C16" s="4" t="inlineStr">
        <is>
          <t>Simulation assumption</t>
        </is>
      </c>
      <c r="E16" s="4" t="inlineStr">
        <is>
          <t>prostate</t>
        </is>
      </c>
      <c r="F16" s="4" t="n">
        <v>1</v>
      </c>
    </row>
    <row r="17">
      <c r="A17" s="4" t="inlineStr">
        <is>
          <t>BandHigh</t>
        </is>
      </c>
      <c r="B17" s="4" t="n">
        <v>0.6</v>
      </c>
      <c r="C17" s="4" t="inlineStr">
        <is>
          <t>Simulation assumption</t>
        </is>
      </c>
      <c r="E17" s="4" t="inlineStr">
        <is>
          <t>other solid tumour</t>
        </is>
      </c>
      <c r="F17" s="4" t="n">
        <v>1</v>
      </c>
    </row>
    <row r="18">
      <c r="A18" s="4" t="inlineStr">
        <is>
          <t>WeightMin</t>
        </is>
      </c>
      <c r="B18" s="4" t="n">
        <v>25</v>
      </c>
      <c r="C18" s="4" t="inlineStr">
        <is>
          <t>Input validation bound</t>
        </is>
      </c>
    </row>
    <row r="19">
      <c r="A19" s="4" t="inlineStr">
        <is>
          <t>WeightMax</t>
        </is>
      </c>
      <c r="B19" s="4" t="n">
        <v>160</v>
      </c>
      <c r="C19" s="4" t="inlineStr">
        <is>
          <t>Input validation bound</t>
        </is>
      </c>
    </row>
    <row r="20">
      <c r="A20" s="4" t="inlineStr">
        <is>
          <t>Risk3Intercept</t>
        </is>
      </c>
      <c r="B20" s="4" t="n">
        <v>-2</v>
      </c>
      <c r="C20" s="4" t="inlineStr">
        <is>
          <t>Simulation assumption</t>
        </is>
      </c>
    </row>
    <row r="21">
      <c r="A21" s="5" t="inlineStr">
        <is>
          <t>Risk3Age</t>
        </is>
      </c>
      <c r="B21" s="5" t="n">
        <v>0.25</v>
      </c>
      <c r="C21" s="5" t="inlineStr">
        <is>
          <t>Simulation assumption</t>
        </is>
      </c>
    </row>
    <row r="22">
      <c r="A22" s="4" t="inlineStr">
        <is>
          <t>Risk3Loss</t>
        </is>
      </c>
      <c r="B22" s="4" t="n">
        <v>0.13</v>
      </c>
      <c r="C22" s="4" t="inlineStr">
        <is>
          <t>Simulation assumption</t>
        </is>
      </c>
    </row>
    <row r="23">
      <c r="A23" s="5" t="inlineStr">
        <is>
          <t>Risk3BMI</t>
        </is>
      </c>
      <c r="B23" s="5" t="n">
        <v>0.45</v>
      </c>
      <c r="C23" s="5" t="inlineStr">
        <is>
          <t>Simulation assumption</t>
        </is>
      </c>
    </row>
    <row r="24">
      <c r="A24" s="4" t="inlineStr">
        <is>
          <t>Risk3Cancer</t>
        </is>
      </c>
      <c r="B24" s="4" t="n">
        <v>1</v>
      </c>
      <c r="C24" s="4" t="inlineStr">
        <is>
          <t>Simulation assumption</t>
        </is>
      </c>
    </row>
    <row r="25">
      <c r="A25" s="4" t="inlineStr">
        <is>
          <t>Risk6Intercept</t>
        </is>
      </c>
      <c r="B25" s="4" t="n">
        <v>-1.45</v>
      </c>
      <c r="C25" s="4" t="inlineStr">
        <is>
          <t>Simulation assumption</t>
        </is>
      </c>
    </row>
    <row r="26">
      <c r="A26" s="4" t="inlineStr">
        <is>
          <t>Risk6Age</t>
        </is>
      </c>
      <c r="B26" s="4" t="n">
        <v>0.3</v>
      </c>
      <c r="C26" s="4" t="inlineStr">
        <is>
          <t>Simulation assumption</t>
        </is>
      </c>
    </row>
    <row r="27">
      <c r="A27" s="4" t="inlineStr">
        <is>
          <t>Risk6Loss</t>
        </is>
      </c>
      <c r="B27" s="4" t="n">
        <v>0.15</v>
      </c>
      <c r="C27" s="4" t="inlineStr">
        <is>
          <t>Simulation assumption</t>
        </is>
      </c>
    </row>
    <row r="28">
      <c r="A28" s="4" t="inlineStr">
        <is>
          <t>Risk6BMI</t>
        </is>
      </c>
      <c r="B28" s="4" t="n">
        <v>0.5</v>
      </c>
      <c r="C28" s="4" t="inlineStr">
        <is>
          <t>Simulation assumption</t>
        </is>
      </c>
    </row>
    <row r="29">
      <c r="A29" s="4" t="inlineStr">
        <is>
          <t>Risk6Cancer</t>
        </is>
      </c>
      <c r="B29" s="4" t="n">
        <v>1</v>
      </c>
      <c r="C29" s="4" t="inlineStr">
        <is>
          <t>Simulation assumption</t>
        </is>
      </c>
    </row>
  </sheetData>
  <mergeCells count="3">
    <mergeCell ref="A2:H2"/>
    <mergeCell ref="A4:H5"/>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S127"/>
  <sheetViews>
    <sheetView workbookViewId="0">
      <pane ySplit="7" topLeftCell="A8" activePane="bottomLeft" state="frozen"/>
      <selection pane="bottomLeft" activeCell="A1" sqref="A1"/>
    </sheetView>
  </sheetViews>
  <sheetFormatPr baseColWidth="8" defaultRowHeight="15"/>
  <cols>
    <col width="24" customWidth="1" min="1" max="1"/>
    <col width="18" customWidth="1" min="2" max="2"/>
    <col width="18" customWidth="1" min="3" max="3"/>
    <col width="18" customWidth="1" min="4" max="4"/>
    <col width="18" customWidth="1" min="5" max="5"/>
    <col width="18" customWidth="1" min="6" max="6"/>
    <col width="18"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s>
  <sheetData>
    <row r="1" ht="32" customHeight="1">
      <c r="A1" s="1" t="inlineStr">
        <is>
          <t>Generated synthetic cohort</t>
        </is>
      </c>
    </row>
    <row r="2" ht="34" customHeight="1">
      <c r="A2" s="2" t="inlineStr">
        <is>
          <t>For plausibility review only; counts do not estimate prevalence.</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c r="A7" s="5" t="inlineStr">
        <is>
          <t>patient_id</t>
        </is>
      </c>
      <c r="B7" s="5" t="inlineStr">
        <is>
          <t>prediction_date</t>
        </is>
      </c>
      <c r="C7" s="5" t="inlineStr">
        <is>
          <t>age</t>
        </is>
      </c>
      <c r="D7" s="5" t="inlineStr">
        <is>
          <t>sex</t>
        </is>
      </c>
      <c r="E7" s="5" t="inlineStr">
        <is>
          <t>cancer_type</t>
        </is>
      </c>
      <c r="F7" s="5" t="inlineStr">
        <is>
          <t>cancer_stage</t>
        </is>
      </c>
      <c r="G7" s="5" t="inlineStr">
        <is>
          <t>height_cm</t>
        </is>
      </c>
      <c r="H7" s="5" t="inlineStr">
        <is>
          <t>ecog</t>
        </is>
      </c>
      <c r="I7" s="5" t="inlineStr">
        <is>
          <t>reduced_appetite</t>
        </is>
      </c>
      <c r="J7" s="5" t="inlineStr">
        <is>
          <t>sarcopenia</t>
        </is>
      </c>
      <c r="K7" s="5" t="inlineStr">
        <is>
          <t>baseline_bmi</t>
        </is>
      </c>
      <c r="L7" s="5" t="inlineStr">
        <is>
          <t>baseline_loss_percent</t>
        </is>
      </c>
      <c r="M7" s="5" t="inlineStr">
        <is>
          <t>outcome_3m_cachexia</t>
        </is>
      </c>
      <c r="N7" s="5" t="inlineStr">
        <is>
          <t>outcome_3m_precachexia</t>
        </is>
      </c>
      <c r="O7" s="5" t="inlineStr">
        <is>
          <t>risk_3m</t>
        </is>
      </c>
      <c r="P7" s="5" t="inlineStr">
        <is>
          <t>outcome_6m_cachexia</t>
        </is>
      </c>
      <c r="Q7" s="5" t="inlineStr">
        <is>
          <t>outcome_6m_precachexia</t>
        </is>
      </c>
      <c r="R7" s="5" t="inlineStr">
        <is>
          <t>risk_6m</t>
        </is>
      </c>
      <c r="S7" s="5" t="inlineStr">
        <is>
          <t>edge_case</t>
        </is>
      </c>
    </row>
    <row r="8">
      <c r="A8" s="4" t="inlineStr">
        <is>
          <t>SYN-20260820-0001</t>
        </is>
      </c>
      <c r="B8" s="4" t="inlineStr">
        <is>
          <t>2026-01-15</t>
        </is>
      </c>
      <c r="C8" s="4" t="n">
        <v>87</v>
      </c>
      <c r="D8" s="4" t="inlineStr">
        <is>
          <t>male</t>
        </is>
      </c>
      <c r="E8" s="4" t="inlineStr">
        <is>
          <t>gastric</t>
        </is>
      </c>
      <c r="F8" s="4" t="inlineStr">
        <is>
          <t>IV</t>
        </is>
      </c>
      <c r="G8" s="4" t="n">
        <v>165.4</v>
      </c>
      <c r="H8" s="4" t="inlineStr">
        <is>
          <t>unknown</t>
        </is>
      </c>
      <c r="I8" s="4" t="inlineStr">
        <is>
          <t>unknown</t>
        </is>
      </c>
      <c r="J8" s="4" t="inlineStr">
        <is>
          <t>no</t>
        </is>
      </c>
      <c r="K8" s="4" t="n">
        <v>40.95125371200811</v>
      </c>
      <c r="M8" s="4" t="inlineStr">
        <is>
          <t>no</t>
        </is>
      </c>
      <c r="N8" s="4" t="inlineStr">
        <is>
          <t>unknown</t>
        </is>
      </c>
      <c r="O8" s="24" t="n"/>
      <c r="P8" s="4" t="inlineStr">
        <is>
          <t>no</t>
        </is>
      </c>
      <c r="Q8" s="4" t="inlineStr">
        <is>
          <t>unknown</t>
        </is>
      </c>
      <c r="R8" s="24" t="n"/>
      <c r="S8" s="4" t="inlineStr">
        <is>
          <t>unknown_fields</t>
        </is>
      </c>
    </row>
    <row r="9">
      <c r="A9" s="4" t="inlineStr">
        <is>
          <t>SYN-20260820-0002</t>
        </is>
      </c>
      <c r="B9" s="4" t="inlineStr">
        <is>
          <t>2026-01-16</t>
        </is>
      </c>
      <c r="C9" s="4" t="n">
        <v>85</v>
      </c>
      <c r="D9" s="4" t="inlineStr">
        <is>
          <t>male</t>
        </is>
      </c>
      <c r="E9" s="4" t="inlineStr">
        <is>
          <t>oesophageal</t>
        </is>
      </c>
      <c r="F9" s="4" t="inlineStr">
        <is>
          <t>III</t>
        </is>
      </c>
      <c r="G9" s="4" t="n">
        <v>182.3</v>
      </c>
      <c r="H9" s="4" t="n">
        <v>1</v>
      </c>
      <c r="I9" s="4" t="inlineStr">
        <is>
          <t>no</t>
        </is>
      </c>
      <c r="J9" s="4" t="inlineStr">
        <is>
          <t>unknown</t>
        </is>
      </c>
      <c r="K9" s="4" t="n">
        <v>28.22079908429168</v>
      </c>
      <c r="M9" s="4" t="inlineStr">
        <is>
          <t>no</t>
        </is>
      </c>
      <c r="N9" s="4" t="inlineStr">
        <is>
          <t>no</t>
        </is>
      </c>
      <c r="O9" s="24" t="n"/>
      <c r="P9" s="4" t="inlineStr">
        <is>
          <t>no</t>
        </is>
      </c>
      <c r="Q9" s="4" t="inlineStr">
        <is>
          <t>no</t>
        </is>
      </c>
      <c r="R9" s="24" t="n"/>
      <c r="S9" s="4" t="inlineStr">
        <is>
          <t>insufficient_history</t>
        </is>
      </c>
    </row>
    <row r="10">
      <c r="A10" s="4" t="inlineStr">
        <is>
          <t>SYN-20260820-0003</t>
        </is>
      </c>
      <c r="B10" s="4" t="inlineStr">
        <is>
          <t>2026-01-17</t>
        </is>
      </c>
      <c r="C10" s="4" t="n">
        <v>82</v>
      </c>
      <c r="D10" s="4" t="inlineStr">
        <is>
          <t>male</t>
        </is>
      </c>
      <c r="E10" s="4" t="inlineStr">
        <is>
          <t>head and neck</t>
        </is>
      </c>
      <c r="F10" s="4" t="inlineStr">
        <is>
          <t>III</t>
        </is>
      </c>
      <c r="G10" s="4" t="n">
        <v>168</v>
      </c>
      <c r="H10" s="4" t="n">
        <v>1</v>
      </c>
      <c r="I10" s="4" t="inlineStr">
        <is>
          <t>unknown</t>
        </is>
      </c>
      <c r="J10" s="4" t="inlineStr">
        <is>
          <t>yes</t>
        </is>
      </c>
      <c r="K10" s="4" t="n">
        <v>33.53776927437642</v>
      </c>
      <c r="L10" s="4" t="n">
        <v>-3.092783505154635</v>
      </c>
      <c r="M10" s="4" t="inlineStr">
        <is>
          <t>no</t>
        </is>
      </c>
      <c r="N10" s="4" t="inlineStr">
        <is>
          <t>no</t>
        </is>
      </c>
      <c r="O10" s="25" t="n">
        <v>0.3775406687981454</v>
      </c>
      <c r="P10" s="4" t="inlineStr">
        <is>
          <t>no</t>
        </is>
      </c>
      <c r="Q10" s="4" t="inlineStr">
        <is>
          <t>unknown</t>
        </is>
      </c>
      <c r="R10" s="25" t="n">
        <v>0.52497918747894</v>
      </c>
      <c r="S10" s="4" t="inlineStr">
        <is>
          <t>baseline_weight_gain</t>
        </is>
      </c>
    </row>
    <row r="11">
      <c r="A11" s="4" t="inlineStr">
        <is>
          <t>SYN-20260820-0004</t>
        </is>
      </c>
      <c r="B11" s="4" t="inlineStr">
        <is>
          <t>2026-01-18</t>
        </is>
      </c>
      <c r="C11" s="4" t="n">
        <v>52</v>
      </c>
      <c r="D11" s="4" t="inlineStr">
        <is>
          <t>male</t>
        </is>
      </c>
      <c r="E11" s="4" t="inlineStr">
        <is>
          <t>gastric</t>
        </is>
      </c>
      <c r="F11" s="4" t="inlineStr">
        <is>
          <t>II</t>
        </is>
      </c>
      <c r="G11" s="4" t="n">
        <v>169.1</v>
      </c>
      <c r="H11" s="4" t="n">
        <v>1</v>
      </c>
      <c r="I11" s="4" t="inlineStr">
        <is>
          <t>no</t>
        </is>
      </c>
      <c r="J11" s="4" t="inlineStr">
        <is>
          <t>unknown</t>
        </is>
      </c>
      <c r="K11" s="4" t="n">
        <v>25.38747416052074</v>
      </c>
      <c r="L11" s="4" t="n">
        <v>0</v>
      </c>
      <c r="M11" s="4" t="inlineStr">
        <is>
          <t>unknown</t>
        </is>
      </c>
      <c r="N11" s="4" t="inlineStr">
        <is>
          <t>unknown</t>
        </is>
      </c>
      <c r="O11" s="25" t="n">
        <v>0.2689414213699951</v>
      </c>
      <c r="P11" s="4" t="inlineStr">
        <is>
          <t>unknown</t>
        </is>
      </c>
      <c r="Q11" s="4" t="inlineStr">
        <is>
          <t>unknown</t>
        </is>
      </c>
      <c r="R11" s="25" t="n">
        <v>0.389360766050778</v>
      </c>
      <c r="S11" s="4" t="inlineStr">
        <is>
          <t>baseline_stability</t>
        </is>
      </c>
    </row>
    <row r="12">
      <c r="A12" s="4" t="inlineStr">
        <is>
          <t>SYN-20260820-0005</t>
        </is>
      </c>
      <c r="B12" s="4" t="inlineStr">
        <is>
          <t>2026-01-19</t>
        </is>
      </c>
      <c r="C12" s="4" t="n">
        <v>73</v>
      </c>
      <c r="D12" s="4" t="inlineStr">
        <is>
          <t>female</t>
        </is>
      </c>
      <c r="E12" s="4" t="inlineStr">
        <is>
          <t>head and neck</t>
        </is>
      </c>
      <c r="F12" s="4" t="inlineStr">
        <is>
          <t>I</t>
        </is>
      </c>
      <c r="G12" s="4" t="n">
        <v>158.2</v>
      </c>
      <c r="H12" s="4" t="n">
        <v>2</v>
      </c>
      <c r="I12" s="4" t="inlineStr">
        <is>
          <t>yes</t>
        </is>
      </c>
      <c r="J12" s="4" t="inlineStr">
        <is>
          <t>unknown</t>
        </is>
      </c>
      <c r="K12" s="4" t="n">
        <v>17.41862067091697</v>
      </c>
      <c r="L12" s="4" t="n">
        <v>2.999999999999998</v>
      </c>
      <c r="M12" s="4" t="inlineStr">
        <is>
          <t>no</t>
        </is>
      </c>
      <c r="N12" s="4" t="inlineStr">
        <is>
          <t>no</t>
        </is>
      </c>
      <c r="O12" s="25" t="n">
        <v>0.6878313305828404</v>
      </c>
      <c r="P12" s="4" t="inlineStr">
        <is>
          <t>no</t>
        </is>
      </c>
      <c r="Q12" s="4" t="inlineStr">
        <is>
          <t>no</t>
        </is>
      </c>
      <c r="R12" s="25" t="n">
        <v>0.8320183851339245</v>
      </c>
      <c r="S12" s="4" t="inlineStr">
        <is>
          <t>limited_loss_with_appetite</t>
        </is>
      </c>
    </row>
    <row r="13">
      <c r="A13" s="4" t="inlineStr">
        <is>
          <t>SYN-20260820-0006</t>
        </is>
      </c>
      <c r="B13" s="4" t="inlineStr">
        <is>
          <t>2026-01-20</t>
        </is>
      </c>
      <c r="C13" s="4" t="n">
        <v>76</v>
      </c>
      <c r="D13" s="4" t="inlineStr">
        <is>
          <t>male</t>
        </is>
      </c>
      <c r="E13" s="4" t="inlineStr">
        <is>
          <t>prostate</t>
        </is>
      </c>
      <c r="F13" s="4" t="inlineStr">
        <is>
          <t>IV</t>
        </is>
      </c>
      <c r="G13" s="4" t="n">
        <v>180</v>
      </c>
      <c r="H13" s="4" t="n">
        <v>2</v>
      </c>
      <c r="I13" s="4" t="inlineStr">
        <is>
          <t>no</t>
        </is>
      </c>
      <c r="J13" s="4" t="inlineStr">
        <is>
          <t>unknown</t>
        </is>
      </c>
      <c r="K13" s="4" t="n">
        <v>21.28518518518518</v>
      </c>
      <c r="L13" s="4" t="n">
        <v>5.999999999999999</v>
      </c>
      <c r="M13" s="4" t="inlineStr">
        <is>
          <t>no</t>
        </is>
      </c>
      <c r="N13" s="4" t="inlineStr">
        <is>
          <t>no</t>
        </is>
      </c>
      <c r="O13" s="25" t="n">
        <v>0.5938731029341427</v>
      </c>
      <c r="P13" s="4" t="inlineStr">
        <is>
          <t>no</t>
        </is>
      </c>
      <c r="Q13" s="4" t="inlineStr">
        <is>
          <t>no</t>
        </is>
      </c>
      <c r="R13" s="25" t="n">
        <v>0.759510916949111</v>
      </c>
      <c r="S13" s="4" t="inlineStr">
        <is>
          <t>supported_cachexia_pattern</t>
        </is>
      </c>
    </row>
    <row r="14">
      <c r="A14" s="4" t="inlineStr">
        <is>
          <t>SYN-20260820-0007</t>
        </is>
      </c>
      <c r="B14" s="4" t="inlineStr">
        <is>
          <t>2026-01-21</t>
        </is>
      </c>
      <c r="C14" s="4" t="n">
        <v>80</v>
      </c>
      <c r="D14" s="4" t="inlineStr">
        <is>
          <t>male</t>
        </is>
      </c>
      <c r="E14" s="4" t="inlineStr">
        <is>
          <t>pancreatic</t>
        </is>
      </c>
      <c r="F14" s="4" t="inlineStr">
        <is>
          <t>III</t>
        </is>
      </c>
      <c r="G14" s="4" t="n">
        <v>170</v>
      </c>
      <c r="H14" s="4" t="n">
        <v>2</v>
      </c>
      <c r="I14" s="4" t="inlineStr">
        <is>
          <t>yes</t>
        </is>
      </c>
      <c r="J14" s="4" t="inlineStr">
        <is>
          <t>yes</t>
        </is>
      </c>
      <c r="K14" s="4" t="n">
        <v>20</v>
      </c>
      <c r="L14" s="4" t="n">
        <v>2.000000000000001</v>
      </c>
      <c r="M14" s="4" t="inlineStr">
        <is>
          <t>yes</t>
        </is>
      </c>
      <c r="N14" s="4" t="inlineStr">
        <is>
          <t>no</t>
        </is>
      </c>
      <c r="O14" s="25" t="n">
        <v>0.7521291114395702</v>
      </c>
      <c r="P14" s="4" t="inlineStr">
        <is>
          <t>yes</t>
        </is>
      </c>
      <c r="Q14" s="4" t="inlineStr">
        <is>
          <t>no</t>
        </is>
      </c>
      <c r="R14" s="25" t="n">
        <v>0.8641271029909058</v>
      </c>
      <c r="S14" s="4" t="inlineStr">
        <is>
          <t>bmi_20_weight_loss_2_boundary</t>
        </is>
      </c>
    </row>
    <row r="15">
      <c r="A15" s="4" t="inlineStr">
        <is>
          <t>SYN-20260820-0008</t>
        </is>
      </c>
      <c r="B15" s="4" t="inlineStr">
        <is>
          <t>2026-01-22</t>
        </is>
      </c>
      <c r="C15" s="4" t="n">
        <v>56</v>
      </c>
      <c r="D15" s="4" t="inlineStr">
        <is>
          <t>male</t>
        </is>
      </c>
      <c r="E15" s="4" t="inlineStr">
        <is>
          <t>pancreatic</t>
        </is>
      </c>
      <c r="F15" s="4" t="inlineStr">
        <is>
          <t>II</t>
        </is>
      </c>
      <c r="G15" s="4" t="n">
        <v>177.4</v>
      </c>
      <c r="H15" s="4" t="n">
        <v>2</v>
      </c>
      <c r="I15" s="4" t="inlineStr">
        <is>
          <t>no</t>
        </is>
      </c>
      <c r="J15" s="4" t="inlineStr">
        <is>
          <t>no</t>
        </is>
      </c>
      <c r="K15" s="4" t="n">
        <v>32.20195508465635</v>
      </c>
      <c r="L15" s="4" t="n">
        <v>5.000000000000009</v>
      </c>
      <c r="M15" s="4" t="inlineStr">
        <is>
          <t>no</t>
        </is>
      </c>
      <c r="N15" s="4" t="inlineStr">
        <is>
          <t>no</t>
        </is>
      </c>
      <c r="O15" s="25" t="n">
        <v>0.6106392339492221</v>
      </c>
      <c r="P15" s="4" t="inlineStr">
        <is>
          <t>yes</t>
        </is>
      </c>
      <c r="Q15" s="4" t="inlineStr">
        <is>
          <t>no</t>
        </is>
      </c>
      <c r="R15" s="25" t="n">
        <v>0.7685247834990179</v>
      </c>
      <c r="S15" s="4" t="inlineStr">
        <is>
          <t>weight_loss_5_boundary</t>
        </is>
      </c>
    </row>
    <row r="16">
      <c r="A16" s="4" t="inlineStr">
        <is>
          <t>SYN-20260820-0009</t>
        </is>
      </c>
      <c r="B16" s="4" t="inlineStr">
        <is>
          <t>2026-01-23</t>
        </is>
      </c>
      <c r="C16" s="4" t="n">
        <v>44</v>
      </c>
      <c r="D16" s="4" t="inlineStr">
        <is>
          <t>female</t>
        </is>
      </c>
      <c r="E16" s="4" t="inlineStr">
        <is>
          <t>lung</t>
        </is>
      </c>
      <c r="F16" s="4" t="inlineStr">
        <is>
          <t>IV</t>
        </is>
      </c>
      <c r="G16" s="4" t="n">
        <v>163</v>
      </c>
      <c r="H16" s="4" t="n">
        <v>3</v>
      </c>
      <c r="I16" s="4" t="inlineStr">
        <is>
          <t>yes</t>
        </is>
      </c>
      <c r="J16" s="4" t="inlineStr">
        <is>
          <t>no</t>
        </is>
      </c>
      <c r="K16" s="4" t="n">
        <v>18.67176032217998</v>
      </c>
      <c r="L16" s="4" t="n">
        <v>3.944158308484682</v>
      </c>
      <c r="M16" s="4" t="inlineStr">
        <is>
          <t>yes</t>
        </is>
      </c>
      <c r="N16" s="4" t="inlineStr">
        <is>
          <t>no</t>
        </is>
      </c>
      <c r="O16" s="25" t="n">
        <v>0.8821282807251993</v>
      </c>
      <c r="P16" s="4" t="inlineStr">
        <is>
          <t>yes</t>
        </is>
      </c>
      <c r="Q16" s="4" t="inlineStr">
        <is>
          <t>no</t>
        </is>
      </c>
      <c r="R16" s="25" t="n">
        <v>0.9448840850315962</v>
      </c>
    </row>
    <row r="17">
      <c r="A17" s="4" t="inlineStr">
        <is>
          <t>SYN-20260820-0010</t>
        </is>
      </c>
      <c r="B17" s="4" t="inlineStr">
        <is>
          <t>2026-01-24</t>
        </is>
      </c>
      <c r="C17" s="4" t="n">
        <v>55</v>
      </c>
      <c r="D17" s="4" t="inlineStr">
        <is>
          <t>female</t>
        </is>
      </c>
      <c r="E17" s="4" t="inlineStr">
        <is>
          <t>oesophageal</t>
        </is>
      </c>
      <c r="F17" s="4" t="inlineStr">
        <is>
          <t>IV</t>
        </is>
      </c>
      <c r="G17" s="4" t="n">
        <v>163.4</v>
      </c>
      <c r="H17" s="4" t="n">
        <v>2</v>
      </c>
      <c r="I17" s="4" t="inlineStr">
        <is>
          <t>yes</t>
        </is>
      </c>
      <c r="J17" s="4" t="inlineStr">
        <is>
          <t>no</t>
        </is>
      </c>
      <c r="K17" s="4" t="n">
        <v>31.64097086244118</v>
      </c>
      <c r="L17" s="4" t="n">
        <v>3.959619385423405</v>
      </c>
      <c r="M17" s="4" t="inlineStr">
        <is>
          <t>no</t>
        </is>
      </c>
      <c r="N17" s="4" t="inlineStr">
        <is>
          <t>yes</t>
        </is>
      </c>
      <c r="O17" s="25" t="n">
        <v>0.8045141442678291</v>
      </c>
      <c r="P17" s="4" t="inlineStr">
        <is>
          <t>yes</t>
        </is>
      </c>
      <c r="Q17" s="4" t="inlineStr">
        <is>
          <t>no</t>
        </is>
      </c>
      <c r="R17" s="25" t="n">
        <v>0.8951014064915285</v>
      </c>
    </row>
    <row r="18">
      <c r="A18" s="4" t="inlineStr">
        <is>
          <t>SYN-20260820-0011</t>
        </is>
      </c>
      <c r="B18" s="4" t="inlineStr">
        <is>
          <t>2026-01-25</t>
        </is>
      </c>
      <c r="C18" s="4" t="n">
        <v>72</v>
      </c>
      <c r="D18" s="4" t="inlineStr">
        <is>
          <t>female</t>
        </is>
      </c>
      <c r="E18" s="4" t="inlineStr">
        <is>
          <t>head and neck</t>
        </is>
      </c>
      <c r="F18" s="4" t="inlineStr">
        <is>
          <t>III</t>
        </is>
      </c>
      <c r="G18" s="4" t="n">
        <v>173.3</v>
      </c>
      <c r="H18" s="4" t="n">
        <v>1</v>
      </c>
      <c r="I18" s="4" t="inlineStr">
        <is>
          <t>unknown</t>
        </is>
      </c>
      <c r="J18" s="4" t="inlineStr">
        <is>
          <t>unknown</t>
        </is>
      </c>
      <c r="K18" s="4" t="n">
        <v>20.01772057234585</v>
      </c>
      <c r="L18" s="4" t="n">
        <v>1.327796743697475</v>
      </c>
      <c r="M18" s="4" t="inlineStr">
        <is>
          <t>no</t>
        </is>
      </c>
      <c r="N18" s="4" t="inlineStr">
        <is>
          <t>no</t>
        </is>
      </c>
      <c r="O18" s="25" t="n">
        <v>0.418876682178712</v>
      </c>
      <c r="P18" s="4" t="inlineStr">
        <is>
          <t>no</t>
        </is>
      </c>
      <c r="Q18" s="4" t="inlineStr">
        <is>
          <t>unknown</t>
        </is>
      </c>
      <c r="R18" s="25" t="n">
        <v>0.574239484467892</v>
      </c>
    </row>
    <row r="19">
      <c r="A19" s="4" t="inlineStr">
        <is>
          <t>SYN-20260820-0012</t>
        </is>
      </c>
      <c r="B19" s="4" t="inlineStr">
        <is>
          <t>2026-01-26</t>
        </is>
      </c>
      <c r="C19" s="4" t="n">
        <v>80</v>
      </c>
      <c r="D19" s="4" t="inlineStr">
        <is>
          <t>female</t>
        </is>
      </c>
      <c r="E19" s="4" t="inlineStr">
        <is>
          <t>hepatobiliary</t>
        </is>
      </c>
      <c r="F19" s="4" t="inlineStr">
        <is>
          <t>I</t>
        </is>
      </c>
      <c r="G19" s="4" t="n">
        <v>152.1</v>
      </c>
      <c r="H19" s="4" t="n">
        <v>2</v>
      </c>
      <c r="I19" s="4" t="inlineStr">
        <is>
          <t>no</t>
        </is>
      </c>
      <c r="J19" s="4" t="inlineStr">
        <is>
          <t>unknown</t>
        </is>
      </c>
      <c r="K19" s="4" t="n">
        <v>24.05334737302573</v>
      </c>
      <c r="L19" s="4" t="n">
        <v>1.734124461397188</v>
      </c>
      <c r="M19" s="4" t="inlineStr">
        <is>
          <t>unknown</t>
        </is>
      </c>
      <c r="N19" s="4" t="inlineStr">
        <is>
          <t>unknown</t>
        </is>
      </c>
      <c r="O19" s="25" t="n">
        <v>0.4564695291836245</v>
      </c>
      <c r="P19" s="4" t="inlineStr">
        <is>
          <t>unknown</t>
        </is>
      </c>
      <c r="Q19" s="4" t="inlineStr">
        <is>
          <t>unknown</t>
        </is>
      </c>
      <c r="R19" s="25" t="n">
        <v>0.6248342928893178</v>
      </c>
    </row>
    <row r="20">
      <c r="A20" s="4" t="inlineStr">
        <is>
          <t>SYN-20260820-0013</t>
        </is>
      </c>
      <c r="B20" s="4" t="inlineStr">
        <is>
          <t>2026-01-27</t>
        </is>
      </c>
      <c r="C20" s="4" t="n">
        <v>55</v>
      </c>
      <c r="D20" s="4" t="inlineStr">
        <is>
          <t>female</t>
        </is>
      </c>
      <c r="E20" s="4" t="inlineStr">
        <is>
          <t>head and neck</t>
        </is>
      </c>
      <c r="F20" s="4" t="inlineStr">
        <is>
          <t>III</t>
        </is>
      </c>
      <c r="G20" s="4" t="n">
        <v>158.7</v>
      </c>
      <c r="H20" s="4" t="n">
        <v>2</v>
      </c>
      <c r="I20" s="4" t="inlineStr">
        <is>
          <t>no</t>
        </is>
      </c>
      <c r="J20" s="4" t="inlineStr">
        <is>
          <t>no</t>
        </is>
      </c>
      <c r="K20" s="4" t="n">
        <v>23.29695950359113</v>
      </c>
      <c r="M20" s="4" t="inlineStr">
        <is>
          <t>no</t>
        </is>
      </c>
      <c r="N20" s="4" t="inlineStr">
        <is>
          <t>no</t>
        </is>
      </c>
      <c r="O20" s="24" t="n"/>
      <c r="P20" s="4" t="inlineStr">
        <is>
          <t>yes</t>
        </is>
      </c>
      <c r="Q20" s="4" t="inlineStr">
        <is>
          <t>no</t>
        </is>
      </c>
      <c r="R20" s="24" t="n"/>
    </row>
    <row r="21">
      <c r="A21" s="5" t="inlineStr">
        <is>
          <t>SYN-20260820-0014</t>
        </is>
      </c>
      <c r="B21" s="5" t="inlineStr">
        <is>
          <t>2026-01-28</t>
        </is>
      </c>
      <c r="C21" s="5" t="n">
        <v>43</v>
      </c>
      <c r="D21" s="5" t="inlineStr">
        <is>
          <t>unknown</t>
        </is>
      </c>
      <c r="E21" s="5" t="inlineStr">
        <is>
          <t>oesophageal</t>
        </is>
      </c>
      <c r="F21" s="5" t="inlineStr">
        <is>
          <t>IV</t>
        </is>
      </c>
      <c r="G21" s="5" t="n">
        <v>186.2</v>
      </c>
      <c r="H21" s="5" t="n">
        <v>1</v>
      </c>
      <c r="I21" s="5" t="inlineStr">
        <is>
          <t>yes</t>
        </is>
      </c>
      <c r="J21" s="5" t="inlineStr">
        <is>
          <t>yes</t>
        </is>
      </c>
      <c r="K21" s="5" t="n">
        <v>21.68071706041227</v>
      </c>
      <c r="L21" s="5" t="n">
        <v>3.302244806071903</v>
      </c>
      <c r="M21" s="5" t="inlineStr">
        <is>
          <t>yes</t>
        </is>
      </c>
      <c r="N21" s="5" t="inlineStr">
        <is>
          <t>no</t>
        </is>
      </c>
      <c r="O21" s="26" t="n">
        <v>0.7269676763024731</v>
      </c>
      <c r="P21" s="5" t="inlineStr">
        <is>
          <t>yes</t>
        </is>
      </c>
      <c r="Q21" s="5" t="inlineStr">
        <is>
          <t>no</t>
        </is>
      </c>
      <c r="R21" s="26" t="n">
        <v>0.8382597984854629</v>
      </c>
    </row>
    <row r="22">
      <c r="A22" s="4" t="inlineStr">
        <is>
          <t>SYN-20260820-0015</t>
        </is>
      </c>
      <c r="B22" s="4" t="inlineStr">
        <is>
          <t>2026-01-29</t>
        </is>
      </c>
      <c r="C22" s="4" t="n">
        <v>56</v>
      </c>
      <c r="D22" s="4" t="inlineStr">
        <is>
          <t>female</t>
        </is>
      </c>
      <c r="E22" s="4" t="inlineStr">
        <is>
          <t>pancreatic</t>
        </is>
      </c>
      <c r="F22" s="4" t="inlineStr">
        <is>
          <t>II</t>
        </is>
      </c>
      <c r="G22" s="4" t="n">
        <v>146.9</v>
      </c>
      <c r="H22" s="4" t="n">
        <v>1</v>
      </c>
      <c r="I22" s="4" t="inlineStr">
        <is>
          <t>yes</t>
        </is>
      </c>
      <c r="J22" s="4" t="inlineStr">
        <is>
          <t>no</t>
        </is>
      </c>
      <c r="K22" s="4" t="n">
        <v>38.01458877153016</v>
      </c>
      <c r="L22" s="4" t="n">
        <v>1.47367915350523</v>
      </c>
      <c r="M22" s="4" t="inlineStr">
        <is>
          <t>no</t>
        </is>
      </c>
      <c r="N22" s="4" t="inlineStr">
        <is>
          <t>yes</t>
        </is>
      </c>
      <c r="O22" s="25" t="n">
        <v>0.5966625826658001</v>
      </c>
      <c r="P22" s="4" t="inlineStr">
        <is>
          <t>no</t>
        </is>
      </c>
      <c r="Q22" s="4" t="inlineStr">
        <is>
          <t>yes</t>
        </is>
      </c>
      <c r="R22" s="25" t="n">
        <v>0.7447969015196571</v>
      </c>
    </row>
    <row r="23">
      <c r="A23" s="5" t="inlineStr">
        <is>
          <t>SYN-20260820-0016</t>
        </is>
      </c>
      <c r="B23" s="5" t="inlineStr">
        <is>
          <t>2026-01-30</t>
        </is>
      </c>
      <c r="C23" s="5" t="n">
        <v>79</v>
      </c>
      <c r="D23" s="5" t="inlineStr">
        <is>
          <t>female</t>
        </is>
      </c>
      <c r="E23" s="5" t="inlineStr">
        <is>
          <t>gastric</t>
        </is>
      </c>
      <c r="F23" s="5" t="inlineStr">
        <is>
          <t>III</t>
        </is>
      </c>
      <c r="G23" s="5" t="n">
        <v>169.4</v>
      </c>
      <c r="H23" s="5" t="n">
        <v>2</v>
      </c>
      <c r="I23" s="5" t="inlineStr">
        <is>
          <t>no</t>
        </is>
      </c>
      <c r="J23" s="5" t="inlineStr">
        <is>
          <t>no</t>
        </is>
      </c>
      <c r="K23" s="5" t="n">
        <v>31.84097216511084</v>
      </c>
      <c r="L23" s="5" t="n">
        <v>2.934115197484437</v>
      </c>
      <c r="M23" s="5" t="inlineStr">
        <is>
          <t>no</t>
        </is>
      </c>
      <c r="N23" s="5" t="inlineStr">
        <is>
          <t>no</t>
        </is>
      </c>
      <c r="O23" s="26" t="n">
        <v>0.569897992177435</v>
      </c>
      <c r="P23" s="5" t="inlineStr">
        <is>
          <t>no</t>
        </is>
      </c>
      <c r="Q23" s="5" t="inlineStr">
        <is>
          <t>no</t>
        </is>
      </c>
      <c r="R23" s="26" t="n">
        <v>0.7291110866483175</v>
      </c>
    </row>
    <row r="24">
      <c r="A24" s="4" t="inlineStr">
        <is>
          <t>SYN-20260820-0017</t>
        </is>
      </c>
      <c r="B24" s="4" t="inlineStr">
        <is>
          <t>2026-01-31</t>
        </is>
      </c>
      <c r="C24" s="4" t="n">
        <v>45</v>
      </c>
      <c r="D24" s="4" t="inlineStr">
        <is>
          <t>female</t>
        </is>
      </c>
      <c r="E24" s="4" t="inlineStr">
        <is>
          <t>gastric</t>
        </is>
      </c>
      <c r="F24" s="4" t="inlineStr">
        <is>
          <t>IV</t>
        </is>
      </c>
      <c r="G24" s="4" t="n">
        <v>159.4</v>
      </c>
      <c r="H24" s="4" t="n">
        <v>1</v>
      </c>
      <c r="I24" s="4" t="inlineStr">
        <is>
          <t>no</t>
        </is>
      </c>
      <c r="J24" s="4" t="inlineStr">
        <is>
          <t>no</t>
        </is>
      </c>
      <c r="K24" s="4" t="n">
        <v>32.50623023288398</v>
      </c>
      <c r="L24" s="4" t="n">
        <v>2.874043063607609</v>
      </c>
      <c r="M24" s="4" t="inlineStr">
        <is>
          <t>no</t>
        </is>
      </c>
      <c r="N24" s="4" t="inlineStr">
        <is>
          <t>no</t>
        </is>
      </c>
      <c r="O24" s="25" t="n">
        <v>0.5432976837269611</v>
      </c>
      <c r="P24" s="4" t="inlineStr">
        <is>
          <t>no</t>
        </is>
      </c>
      <c r="Q24" s="4" t="inlineStr">
        <is>
          <t>no</t>
        </is>
      </c>
      <c r="R24" s="25" t="n">
        <v>0.6859185322952924</v>
      </c>
    </row>
    <row r="25">
      <c r="A25" s="4" t="inlineStr">
        <is>
          <t>SYN-20260820-0018</t>
        </is>
      </c>
      <c r="B25" s="4" t="inlineStr">
        <is>
          <t>2026-02-01</t>
        </is>
      </c>
      <c r="C25" s="4" t="n">
        <v>37</v>
      </c>
      <c r="D25" s="4" t="inlineStr">
        <is>
          <t>female</t>
        </is>
      </c>
      <c r="E25" s="4" t="inlineStr">
        <is>
          <t>lung</t>
        </is>
      </c>
      <c r="F25" s="4" t="inlineStr">
        <is>
          <t>IV</t>
        </is>
      </c>
      <c r="G25" s="4" t="n">
        <v>169.6</v>
      </c>
      <c r="H25" s="4" t="n">
        <v>3</v>
      </c>
      <c r="I25" s="4" t="inlineStr">
        <is>
          <t>yes</t>
        </is>
      </c>
      <c r="J25" s="4" t="inlineStr">
        <is>
          <t>no</t>
        </is>
      </c>
      <c r="K25" s="4" t="n">
        <v>25.39201561943752</v>
      </c>
      <c r="L25" s="4" t="n">
        <v>3.960552268244576</v>
      </c>
      <c r="M25" s="4" t="inlineStr">
        <is>
          <t>no</t>
        </is>
      </c>
      <c r="N25" s="4" t="inlineStr">
        <is>
          <t>yes</t>
        </is>
      </c>
      <c r="O25" s="25" t="n">
        <v>0.8270513127395819</v>
      </c>
      <c r="P25" s="4" t="inlineStr">
        <is>
          <t>yes</t>
        </is>
      </c>
      <c r="Q25" s="4" t="inlineStr">
        <is>
          <t>no</t>
        </is>
      </c>
      <c r="R25" s="25" t="n">
        <v>0.9124627495678591</v>
      </c>
    </row>
    <row r="26">
      <c r="A26" s="4" t="inlineStr">
        <is>
          <t>SYN-20260820-0019</t>
        </is>
      </c>
      <c r="B26" s="4" t="inlineStr">
        <is>
          <t>2026-02-02</t>
        </is>
      </c>
      <c r="C26" s="4" t="n">
        <v>63</v>
      </c>
      <c r="D26" s="4" t="inlineStr">
        <is>
          <t>male</t>
        </is>
      </c>
      <c r="E26" s="4" t="inlineStr">
        <is>
          <t>head and neck</t>
        </is>
      </c>
      <c r="F26" s="4" t="inlineStr">
        <is>
          <t>IV</t>
        </is>
      </c>
      <c r="G26" s="4" t="n">
        <v>182.3</v>
      </c>
      <c r="H26" s="4" t="n">
        <v>3</v>
      </c>
      <c r="I26" s="4" t="inlineStr">
        <is>
          <t>yes</t>
        </is>
      </c>
      <c r="J26" s="4" t="inlineStr">
        <is>
          <t>yes</t>
        </is>
      </c>
      <c r="K26" s="4" t="n">
        <v>29.35520377308415</v>
      </c>
      <c r="L26" s="4" t="n">
        <v>3.960425280567037</v>
      </c>
      <c r="M26" s="4" t="inlineStr">
        <is>
          <t>yes</t>
        </is>
      </c>
      <c r="N26" s="4" t="inlineStr">
        <is>
          <t>no</t>
        </is>
      </c>
      <c r="O26" s="25" t="n">
        <v>0.8599476563180206</v>
      </c>
      <c r="P26" s="4" t="inlineStr">
        <is>
          <t>yes</t>
        </is>
      </c>
      <c r="Q26" s="4" t="inlineStr">
        <is>
          <t>no</t>
        </is>
      </c>
      <c r="R26" s="25" t="n">
        <v>0.9336441715511441</v>
      </c>
    </row>
    <row r="27">
      <c r="A27" s="4" t="inlineStr">
        <is>
          <t>SYN-20260820-0020</t>
        </is>
      </c>
      <c r="B27" s="4" t="inlineStr">
        <is>
          <t>2026-02-03</t>
        </is>
      </c>
      <c r="C27" s="4" t="n">
        <v>74</v>
      </c>
      <c r="D27" s="4" t="inlineStr">
        <is>
          <t>female</t>
        </is>
      </c>
      <c r="E27" s="4" t="inlineStr">
        <is>
          <t>lung</t>
        </is>
      </c>
      <c r="F27" s="4" t="inlineStr">
        <is>
          <t>IV</t>
        </is>
      </c>
      <c r="G27" s="4" t="n">
        <v>164.2</v>
      </c>
      <c r="H27" s="4" t="n">
        <v>2</v>
      </c>
      <c r="I27" s="4" t="inlineStr">
        <is>
          <t>yes</t>
        </is>
      </c>
      <c r="J27" s="4" t="inlineStr">
        <is>
          <t>no</t>
        </is>
      </c>
      <c r="K27" s="4" t="n">
        <v>29.63580850423046</v>
      </c>
      <c r="M27" s="4" t="inlineStr">
        <is>
          <t>no</t>
        </is>
      </c>
      <c r="N27" s="4" t="inlineStr">
        <is>
          <t>yes</t>
        </is>
      </c>
      <c r="O27" s="24" t="n"/>
      <c r="P27" s="4" t="inlineStr">
        <is>
          <t>yes</t>
        </is>
      </c>
      <c r="Q27" s="4" t="inlineStr">
        <is>
          <t>no</t>
        </is>
      </c>
      <c r="R27" s="24" t="n"/>
    </row>
    <row r="28">
      <c r="A28" s="4" t="inlineStr">
        <is>
          <t>SYN-20260820-0021</t>
        </is>
      </c>
      <c r="B28" s="4" t="inlineStr">
        <is>
          <t>2026-02-04</t>
        </is>
      </c>
      <c r="C28" s="4" t="n">
        <v>71</v>
      </c>
      <c r="D28" s="4" t="inlineStr">
        <is>
          <t>female</t>
        </is>
      </c>
      <c r="E28" s="4" t="inlineStr">
        <is>
          <t>lung</t>
        </is>
      </c>
      <c r="F28" s="4" t="inlineStr">
        <is>
          <t>IV</t>
        </is>
      </c>
      <c r="G28" s="4" t="n">
        <v>156.1</v>
      </c>
      <c r="H28" s="4" t="n">
        <v>1</v>
      </c>
      <c r="I28" s="4" t="inlineStr">
        <is>
          <t>no</t>
        </is>
      </c>
      <c r="J28" s="4" t="inlineStr">
        <is>
          <t>unknown</t>
        </is>
      </c>
      <c r="K28" s="4" t="n">
        <v>20.28627815822985</v>
      </c>
      <c r="L28" s="4" t="n">
        <v>1.856374213274555</v>
      </c>
      <c r="M28" s="4" t="inlineStr">
        <is>
          <t>yes</t>
        </is>
      </c>
      <c r="N28" s="4" t="inlineStr">
        <is>
          <t>no</t>
        </is>
      </c>
      <c r="O28" s="25" t="n">
        <v>0.5228163050507777</v>
      </c>
      <c r="P28" s="4" t="inlineStr">
        <is>
          <t>yes</t>
        </is>
      </c>
      <c r="Q28" s="4" t="inlineStr">
        <is>
          <t>no</t>
        </is>
      </c>
      <c r="R28" s="25" t="n">
        <v>0.674466389985661</v>
      </c>
    </row>
    <row r="29">
      <c r="A29" s="4" t="inlineStr">
        <is>
          <t>SYN-20260820-0022</t>
        </is>
      </c>
      <c r="B29" s="4" t="inlineStr">
        <is>
          <t>2026-02-05</t>
        </is>
      </c>
      <c r="C29" s="4" t="n">
        <v>72</v>
      </c>
      <c r="D29" s="4" t="inlineStr">
        <is>
          <t>female</t>
        </is>
      </c>
      <c r="E29" s="4" t="inlineStr">
        <is>
          <t>breast</t>
        </is>
      </c>
      <c r="F29" s="4" t="inlineStr">
        <is>
          <t>III</t>
        </is>
      </c>
      <c r="G29" s="4" t="n">
        <v>156.6</v>
      </c>
      <c r="H29" s="4" t="n">
        <v>1</v>
      </c>
      <c r="I29" s="4" t="inlineStr">
        <is>
          <t>no</t>
        </is>
      </c>
      <c r="J29" s="4" t="inlineStr">
        <is>
          <t>unknown</t>
        </is>
      </c>
      <c r="K29" s="4" t="n">
        <v>25.36091823536225</v>
      </c>
      <c r="L29" s="4" t="n">
        <v>0.4513733273576997</v>
      </c>
      <c r="M29" s="4" t="inlineStr">
        <is>
          <t>no</t>
        </is>
      </c>
      <c r="N29" s="4" t="inlineStr">
        <is>
          <t>no</t>
        </is>
      </c>
      <c r="O29" s="25" t="n">
        <v>0.2330226756838236</v>
      </c>
      <c r="P29" s="4" t="inlineStr">
        <is>
          <t>unknown</t>
        </is>
      </c>
      <c r="Q29" s="4" t="inlineStr">
        <is>
          <t>unknown</t>
        </is>
      </c>
      <c r="R29" s="25" t="n">
        <v>0.3584049150818709</v>
      </c>
    </row>
    <row r="30">
      <c r="A30" s="4" t="inlineStr">
        <is>
          <t>SYN-20260820-0023</t>
        </is>
      </c>
      <c r="B30" s="4" t="inlineStr">
        <is>
          <t>2026-02-06</t>
        </is>
      </c>
      <c r="C30" s="4" t="n">
        <v>51</v>
      </c>
      <c r="D30" s="4" t="inlineStr">
        <is>
          <t>female</t>
        </is>
      </c>
      <c r="E30" s="4" t="inlineStr">
        <is>
          <t>pancreatic</t>
        </is>
      </c>
      <c r="F30" s="4" t="inlineStr">
        <is>
          <t>I</t>
        </is>
      </c>
      <c r="G30" s="4" t="n">
        <v>158.9</v>
      </c>
      <c r="H30" s="4" t="n">
        <v>3</v>
      </c>
      <c r="I30" s="4" t="inlineStr">
        <is>
          <t>yes</t>
        </is>
      </c>
      <c r="J30" s="4" t="inlineStr">
        <is>
          <t>yes</t>
        </is>
      </c>
      <c r="K30" s="4" t="n">
        <v>42.06309821178564</v>
      </c>
      <c r="L30" s="4" t="n">
        <v>2.368936322771019</v>
      </c>
      <c r="M30" s="4" t="inlineStr">
        <is>
          <t>yes</t>
        </is>
      </c>
      <c r="N30" s="4" t="inlineStr">
        <is>
          <t>no</t>
        </is>
      </c>
      <c r="O30" s="25" t="n">
        <v>0.6809110380769111</v>
      </c>
      <c r="P30" s="4" t="inlineStr">
        <is>
          <t>yes</t>
        </is>
      </c>
      <c r="Q30" s="4" t="inlineStr">
        <is>
          <t>no</t>
        </is>
      </c>
      <c r="R30" s="25" t="n">
        <v>0.8183696346565638</v>
      </c>
    </row>
    <row r="31">
      <c r="A31" s="4" t="inlineStr">
        <is>
          <t>SYN-20260820-0024</t>
        </is>
      </c>
      <c r="B31" s="4" t="inlineStr">
        <is>
          <t>2026-02-07</t>
        </is>
      </c>
      <c r="C31" s="4" t="n">
        <v>31</v>
      </c>
      <c r="D31" s="4" t="inlineStr">
        <is>
          <t>female</t>
        </is>
      </c>
      <c r="E31" s="4" t="inlineStr">
        <is>
          <t>pancreatic</t>
        </is>
      </c>
      <c r="F31" s="4" t="inlineStr">
        <is>
          <t>II</t>
        </is>
      </c>
      <c r="G31" s="4" t="n">
        <v>162.2</v>
      </c>
      <c r="H31" s="4" t="n">
        <v>1</v>
      </c>
      <c r="I31" s="4" t="inlineStr">
        <is>
          <t>no</t>
        </is>
      </c>
      <c r="J31" s="4" t="inlineStr">
        <is>
          <t>no</t>
        </is>
      </c>
      <c r="K31" s="4" t="n">
        <v>28.64132360073649</v>
      </c>
      <c r="L31" s="4" t="n">
        <v>1.003731147196379</v>
      </c>
      <c r="M31" s="4" t="inlineStr">
        <is>
          <t>no</t>
        </is>
      </c>
      <c r="N31" s="4" t="inlineStr">
        <is>
          <t>no</t>
        </is>
      </c>
      <c r="O31" s="25" t="n">
        <v>0.338605459919918</v>
      </c>
      <c r="P31" s="4" t="inlineStr">
        <is>
          <t>no</t>
        </is>
      </c>
      <c r="Q31" s="4" t="inlineStr">
        <is>
          <t>no</t>
        </is>
      </c>
      <c r="R31" s="25" t="n">
        <v>0.4751603832756189</v>
      </c>
    </row>
    <row r="32">
      <c r="A32" s="4" t="inlineStr">
        <is>
          <t>SYN-20260820-0025</t>
        </is>
      </c>
      <c r="B32" s="4" t="inlineStr">
        <is>
          <t>2026-02-08</t>
        </is>
      </c>
      <c r="C32" s="4" t="n">
        <v>30</v>
      </c>
      <c r="D32" s="4" t="inlineStr">
        <is>
          <t>female</t>
        </is>
      </c>
      <c r="E32" s="4" t="inlineStr">
        <is>
          <t>breast</t>
        </is>
      </c>
      <c r="F32" s="4" t="inlineStr">
        <is>
          <t>IV</t>
        </is>
      </c>
      <c r="G32" s="4" t="n">
        <v>174.7</v>
      </c>
      <c r="H32" s="4" t="n">
        <v>0</v>
      </c>
      <c r="I32" s="4" t="inlineStr">
        <is>
          <t>yes</t>
        </is>
      </c>
      <c r="J32" s="4" t="inlineStr">
        <is>
          <t>yes</t>
        </is>
      </c>
      <c r="K32" s="4" t="n">
        <v>25.0690610676443</v>
      </c>
      <c r="L32" s="4" t="n">
        <v>0.1852504142042844</v>
      </c>
      <c r="M32" s="4" t="inlineStr">
        <is>
          <t>no</t>
        </is>
      </c>
      <c r="N32" s="4" t="inlineStr">
        <is>
          <t>yes</t>
        </is>
      </c>
      <c r="O32" s="25" t="n">
        <v>0.3714695811926476</v>
      </c>
      <c r="P32" s="4" t="inlineStr">
        <is>
          <t>yes</t>
        </is>
      </c>
      <c r="Q32" s="4" t="inlineStr">
        <is>
          <t>no</t>
        </is>
      </c>
      <c r="R32" s="25" t="n">
        <v>0.5319034879151588</v>
      </c>
    </row>
    <row r="33">
      <c r="A33" s="4" t="inlineStr">
        <is>
          <t>SYN-20260820-0026</t>
        </is>
      </c>
      <c r="B33" s="4" t="inlineStr">
        <is>
          <t>2026-02-09</t>
        </is>
      </c>
      <c r="C33" s="4" t="n">
        <v>43</v>
      </c>
      <c r="D33" s="4" t="inlineStr">
        <is>
          <t>male</t>
        </is>
      </c>
      <c r="E33" s="4" t="inlineStr">
        <is>
          <t>colorectal</t>
        </is>
      </c>
      <c r="F33" s="4" t="inlineStr">
        <is>
          <t>III</t>
        </is>
      </c>
      <c r="G33" s="4" t="n">
        <v>170.8</v>
      </c>
      <c r="H33" s="4" t="n">
        <v>1</v>
      </c>
      <c r="I33" s="4" t="inlineStr">
        <is>
          <t>no</t>
        </is>
      </c>
      <c r="J33" s="4" t="inlineStr">
        <is>
          <t>no</t>
        </is>
      </c>
      <c r="K33" s="4" t="n">
        <v>27.26184534550181</v>
      </c>
      <c r="L33" s="4" t="n">
        <v>0.6322155030236396</v>
      </c>
      <c r="M33" s="4" t="inlineStr">
        <is>
          <t>no</t>
        </is>
      </c>
      <c r="N33" s="4" t="inlineStr">
        <is>
          <t>no</t>
        </is>
      </c>
      <c r="O33" s="25" t="n">
        <v>0.2464173634490142</v>
      </c>
      <c r="P33" s="4" t="inlineStr">
        <is>
          <t>no</t>
        </is>
      </c>
      <c r="Q33" s="4" t="inlineStr">
        <is>
          <t>no</t>
        </is>
      </c>
      <c r="R33" s="25" t="n">
        <v>0.364666302153611</v>
      </c>
    </row>
    <row r="34">
      <c r="A34" s="4" t="inlineStr">
        <is>
          <t>SYN-20260820-0027</t>
        </is>
      </c>
      <c r="B34" s="4" t="inlineStr">
        <is>
          <t>2026-02-10</t>
        </is>
      </c>
      <c r="C34" s="4" t="n">
        <v>37</v>
      </c>
      <c r="D34" s="4" t="inlineStr">
        <is>
          <t>female</t>
        </is>
      </c>
      <c r="E34" s="4" t="inlineStr">
        <is>
          <t>head and neck</t>
        </is>
      </c>
      <c r="F34" s="4" t="inlineStr">
        <is>
          <t>IV</t>
        </is>
      </c>
      <c r="G34" s="4" t="n">
        <v>167.4</v>
      </c>
      <c r="H34" s="4" t="n">
        <v>0</v>
      </c>
      <c r="I34" s="4" t="inlineStr">
        <is>
          <t>no</t>
        </is>
      </c>
      <c r="J34" s="4" t="inlineStr">
        <is>
          <t>unknown</t>
        </is>
      </c>
      <c r="K34" s="4" t="n">
        <v>28.21634985276253</v>
      </c>
      <c r="M34" s="4" t="inlineStr">
        <is>
          <t>no</t>
        </is>
      </c>
      <c r="N34" s="4" t="inlineStr">
        <is>
          <t>no</t>
        </is>
      </c>
      <c r="O34" s="24" t="n"/>
      <c r="P34" s="4" t="inlineStr">
        <is>
          <t>no</t>
        </is>
      </c>
      <c r="Q34" s="4" t="inlineStr">
        <is>
          <t>no</t>
        </is>
      </c>
      <c r="R34" s="24" t="n"/>
    </row>
    <row r="35">
      <c r="A35" s="4" t="inlineStr">
        <is>
          <t>SYN-20260820-0028</t>
        </is>
      </c>
      <c r="B35" s="4" t="inlineStr">
        <is>
          <t>2026-02-11</t>
        </is>
      </c>
      <c r="C35" s="4" t="n">
        <v>44</v>
      </c>
      <c r="D35" s="4" t="inlineStr">
        <is>
          <t>male</t>
        </is>
      </c>
      <c r="E35" s="4" t="inlineStr">
        <is>
          <t>prostate</t>
        </is>
      </c>
      <c r="F35" s="4" t="inlineStr">
        <is>
          <t>II</t>
        </is>
      </c>
      <c r="G35" s="4" t="n">
        <v>171.8</v>
      </c>
      <c r="H35" s="4" t="n">
        <v>1</v>
      </c>
      <c r="I35" s="4" t="inlineStr">
        <is>
          <t>yes</t>
        </is>
      </c>
      <c r="J35" s="4" t="inlineStr">
        <is>
          <t>unknown</t>
        </is>
      </c>
      <c r="K35" s="4" t="n">
        <v>33.41324685145707</v>
      </c>
      <c r="L35" s="4" t="n">
        <v>0.7677369369006681</v>
      </c>
      <c r="M35" s="4" t="inlineStr">
        <is>
          <t>no</t>
        </is>
      </c>
      <c r="N35" s="4" t="inlineStr">
        <is>
          <t>no</t>
        </is>
      </c>
      <c r="O35" s="25" t="n">
        <v>0.2788457688268604</v>
      </c>
      <c r="P35" s="4" t="inlineStr">
        <is>
          <t>no</t>
        </is>
      </c>
      <c r="Q35" s="4" t="inlineStr">
        <is>
          <t>no</t>
        </is>
      </c>
      <c r="R35" s="25" t="n">
        <v>0.4170635761427078</v>
      </c>
    </row>
    <row r="36">
      <c r="A36" s="4" t="inlineStr">
        <is>
          <t>SYN-20260820-0029</t>
        </is>
      </c>
      <c r="B36" s="4" t="inlineStr">
        <is>
          <t>2026-02-12</t>
        </is>
      </c>
      <c r="C36" s="4" t="n">
        <v>74</v>
      </c>
      <c r="D36" s="4" t="inlineStr">
        <is>
          <t>female</t>
        </is>
      </c>
      <c r="E36" s="4" t="inlineStr">
        <is>
          <t>colorectal</t>
        </is>
      </c>
      <c r="F36" s="4" t="inlineStr">
        <is>
          <t>II</t>
        </is>
      </c>
      <c r="G36" s="4" t="n">
        <v>157.7</v>
      </c>
      <c r="H36" s="4" t="n">
        <v>4</v>
      </c>
      <c r="I36" s="4" t="inlineStr">
        <is>
          <t>no</t>
        </is>
      </c>
      <c r="J36" s="4" t="inlineStr">
        <is>
          <t>yes</t>
        </is>
      </c>
      <c r="K36" s="4" t="n">
        <v>22.89048058871001</v>
      </c>
      <c r="L36" s="4" t="n">
        <v>2.210808396605626</v>
      </c>
      <c r="M36" s="4" t="inlineStr">
        <is>
          <t>yes</t>
        </is>
      </c>
      <c r="N36" s="4" t="inlineStr">
        <is>
          <t>no</t>
        </is>
      </c>
      <c r="O36" s="25" t="n">
        <v>0.5093501827298672</v>
      </c>
      <c r="P36" s="4" t="inlineStr">
        <is>
          <t>yes</t>
        </is>
      </c>
      <c r="Q36" s="4" t="inlineStr">
        <is>
          <t>no</t>
        </is>
      </c>
      <c r="R36" s="25" t="n">
        <v>0.6860294272454625</v>
      </c>
    </row>
    <row r="37">
      <c r="A37" s="4" t="inlineStr">
        <is>
          <t>SYN-20260820-0030</t>
        </is>
      </c>
      <c r="B37" s="4" t="inlineStr">
        <is>
          <t>2026-02-13</t>
        </is>
      </c>
      <c r="C37" s="4" t="n">
        <v>52</v>
      </c>
      <c r="D37" s="4" t="inlineStr">
        <is>
          <t>male</t>
        </is>
      </c>
      <c r="E37" s="4" t="inlineStr">
        <is>
          <t>lung</t>
        </is>
      </c>
      <c r="F37" s="4" t="inlineStr">
        <is>
          <t>IV</t>
        </is>
      </c>
      <c r="G37" s="4" t="n">
        <v>176.3</v>
      </c>
      <c r="H37" s="4" t="n">
        <v>2</v>
      </c>
      <c r="I37" s="4" t="inlineStr">
        <is>
          <t>yes</t>
        </is>
      </c>
      <c r="J37" s="4" t="inlineStr">
        <is>
          <t>yes</t>
        </is>
      </c>
      <c r="K37" s="4" t="n">
        <v>26.32707552259867</v>
      </c>
      <c r="L37" s="4" t="n">
        <v>3.781527426656486</v>
      </c>
      <c r="M37" s="4" t="inlineStr">
        <is>
          <t>yes</t>
        </is>
      </c>
      <c r="N37" s="4" t="inlineStr">
        <is>
          <t>no</t>
        </is>
      </c>
      <c r="O37" s="25" t="n">
        <v>0.7670268444721814</v>
      </c>
      <c r="P37" s="4" t="inlineStr">
        <is>
          <t>yes</t>
        </is>
      </c>
      <c r="Q37" s="4" t="inlineStr">
        <is>
          <t>no</t>
        </is>
      </c>
      <c r="R37" s="25" t="n">
        <v>0.8718291251619701</v>
      </c>
    </row>
    <row r="38">
      <c r="A38" s="4" t="inlineStr">
        <is>
          <t>SYN-20260820-0031</t>
        </is>
      </c>
      <c r="B38" s="4" t="inlineStr">
        <is>
          <t>2026-02-14</t>
        </is>
      </c>
      <c r="C38" s="4" t="n">
        <v>56</v>
      </c>
      <c r="D38" s="4" t="inlineStr">
        <is>
          <t>male</t>
        </is>
      </c>
      <c r="E38" s="4" t="inlineStr">
        <is>
          <t>head and neck</t>
        </is>
      </c>
      <c r="F38" s="4" t="inlineStr">
        <is>
          <t>IV</t>
        </is>
      </c>
      <c r="G38" s="4" t="n">
        <v>179.5</v>
      </c>
      <c r="H38" s="4" t="n">
        <v>2</v>
      </c>
      <c r="I38" s="4" t="inlineStr">
        <is>
          <t>yes</t>
        </is>
      </c>
      <c r="J38" s="4" t="inlineStr">
        <is>
          <t>unknown</t>
        </is>
      </c>
      <c r="K38" s="4" t="n">
        <v>39.73836329637418</v>
      </c>
      <c r="L38" s="4" t="n">
        <v>3.218540243091236</v>
      </c>
      <c r="M38" s="4" t="inlineStr">
        <is>
          <t>unknown</t>
        </is>
      </c>
      <c r="N38" s="4" t="inlineStr">
        <is>
          <t>unknown</t>
        </is>
      </c>
      <c r="O38" s="25" t="n">
        <v>0.7971231811336577</v>
      </c>
      <c r="P38" s="4" t="inlineStr">
        <is>
          <t>unknown</t>
        </is>
      </c>
      <c r="Q38" s="4" t="inlineStr">
        <is>
          <t>unknown</t>
        </is>
      </c>
      <c r="R38" s="25" t="n">
        <v>0.8940487324983288</v>
      </c>
    </row>
    <row r="39">
      <c r="A39" s="4" t="inlineStr">
        <is>
          <t>SYN-20260820-0032</t>
        </is>
      </c>
      <c r="B39" s="4" t="inlineStr">
        <is>
          <t>2026-02-15</t>
        </is>
      </c>
      <c r="C39" s="4" t="n">
        <v>62</v>
      </c>
      <c r="D39" s="4" t="inlineStr">
        <is>
          <t>male</t>
        </is>
      </c>
      <c r="E39" s="4" t="inlineStr">
        <is>
          <t>prostate</t>
        </is>
      </c>
      <c r="F39" s="4" t="inlineStr">
        <is>
          <t>III</t>
        </is>
      </c>
      <c r="G39" s="4" t="n">
        <v>177.7</v>
      </c>
      <c r="H39" s="4" t="n">
        <v>3</v>
      </c>
      <c r="I39" s="4" t="inlineStr">
        <is>
          <t>yes</t>
        </is>
      </c>
      <c r="J39" s="4" t="inlineStr">
        <is>
          <t>unknown</t>
        </is>
      </c>
      <c r="K39" s="4" t="n">
        <v>37.97285960891514</v>
      </c>
      <c r="L39" s="4" t="n">
        <v>2.195758564437189</v>
      </c>
      <c r="M39" s="4" t="inlineStr">
        <is>
          <t>unknown</t>
        </is>
      </c>
      <c r="N39" s="4" t="inlineStr">
        <is>
          <t>unknown</t>
        </is>
      </c>
      <c r="O39" s="25" t="n">
        <v>0.6190336573843562</v>
      </c>
      <c r="P39" s="4" t="inlineStr">
        <is>
          <t>unknown</t>
        </is>
      </c>
      <c r="Q39" s="4" t="inlineStr">
        <is>
          <t>unknown</t>
        </is>
      </c>
      <c r="R39" s="25" t="n">
        <v>0.7823414590368349</v>
      </c>
    </row>
    <row r="40">
      <c r="A40" s="4" t="inlineStr">
        <is>
          <t>SYN-20260820-0033</t>
        </is>
      </c>
      <c r="B40" s="4" t="inlineStr">
        <is>
          <t>2026-02-16</t>
        </is>
      </c>
      <c r="C40" s="4" t="n">
        <v>62</v>
      </c>
      <c r="D40" s="4" t="inlineStr">
        <is>
          <t>female</t>
        </is>
      </c>
      <c r="E40" s="4" t="inlineStr">
        <is>
          <t>prostate</t>
        </is>
      </c>
      <c r="F40" s="4" t="inlineStr">
        <is>
          <t>IV</t>
        </is>
      </c>
      <c r="G40" s="4" t="n">
        <v>176</v>
      </c>
      <c r="H40" s="4" t="n">
        <v>1</v>
      </c>
      <c r="I40" s="4" t="inlineStr">
        <is>
          <t>no</t>
        </is>
      </c>
      <c r="J40" s="4" t="inlineStr">
        <is>
          <t>no</t>
        </is>
      </c>
      <c r="K40" s="4" t="n">
        <v>24.17484504132231</v>
      </c>
      <c r="L40" s="4" t="n">
        <v>0.4334529982714977</v>
      </c>
      <c r="M40" s="4" t="inlineStr">
        <is>
          <t>no</t>
        </is>
      </c>
      <c r="N40" s="4" t="inlineStr">
        <is>
          <t>no</t>
        </is>
      </c>
      <c r="O40" s="25" t="n">
        <v>0.3332213583703406</v>
      </c>
      <c r="P40" s="4" t="inlineStr">
        <is>
          <t>no</t>
        </is>
      </c>
      <c r="Q40" s="4" t="inlineStr">
        <is>
          <t>no</t>
        </is>
      </c>
      <c r="R40" s="25" t="n">
        <v>0.4787672643749351</v>
      </c>
    </row>
    <row r="41">
      <c r="A41" s="4" t="inlineStr">
        <is>
          <t>SYN-20260820-0034</t>
        </is>
      </c>
      <c r="B41" s="4" t="inlineStr">
        <is>
          <t>2026-02-17</t>
        </is>
      </c>
      <c r="C41" s="4" t="n">
        <v>59</v>
      </c>
      <c r="D41" s="4" t="inlineStr">
        <is>
          <t>male</t>
        </is>
      </c>
      <c r="E41" s="4" t="inlineStr">
        <is>
          <t>hepatobiliary</t>
        </is>
      </c>
      <c r="F41" s="4" t="inlineStr">
        <is>
          <t>I</t>
        </is>
      </c>
      <c r="G41" s="4" t="n">
        <v>170.5</v>
      </c>
      <c r="H41" s="4" t="n">
        <v>3</v>
      </c>
      <c r="I41" s="4" t="inlineStr">
        <is>
          <t>yes</t>
        </is>
      </c>
      <c r="J41" s="4" t="inlineStr">
        <is>
          <t>no</t>
        </is>
      </c>
      <c r="K41" s="4" t="n">
        <v>16.44671098459765</v>
      </c>
      <c r="L41" s="4" t="n">
        <v>1.936211670597893</v>
      </c>
      <c r="M41" s="4" t="inlineStr">
        <is>
          <t>yes</t>
        </is>
      </c>
      <c r="N41" s="4" t="inlineStr">
        <is>
          <t>no</t>
        </is>
      </c>
      <c r="O41" s="25" t="n">
        <v>0.8024547059436148</v>
      </c>
      <c r="P41" s="4" t="inlineStr">
        <is>
          <t>yes</t>
        </is>
      </c>
      <c r="Q41" s="4" t="inlineStr">
        <is>
          <t>no</t>
        </is>
      </c>
      <c r="R41" s="25" t="n">
        <v>0.9038219959604324</v>
      </c>
    </row>
    <row r="42">
      <c r="A42" s="4" t="inlineStr">
        <is>
          <t>SYN-20260820-0035</t>
        </is>
      </c>
      <c r="B42" s="4" t="inlineStr">
        <is>
          <t>2026-02-18</t>
        </is>
      </c>
      <c r="C42" s="4" t="n">
        <v>80</v>
      </c>
      <c r="D42" s="4" t="inlineStr">
        <is>
          <t>male</t>
        </is>
      </c>
      <c r="E42" s="4" t="inlineStr">
        <is>
          <t>lung</t>
        </is>
      </c>
      <c r="F42" s="4" t="inlineStr">
        <is>
          <t>I</t>
        </is>
      </c>
      <c r="G42" s="4" t="n">
        <v>184.3</v>
      </c>
      <c r="H42" s="4" t="n">
        <v>2</v>
      </c>
      <c r="I42" s="4" t="inlineStr">
        <is>
          <t>yes</t>
        </is>
      </c>
      <c r="J42" s="4" t="inlineStr">
        <is>
          <t>unknown</t>
        </is>
      </c>
      <c r="K42" s="4" t="n">
        <v>32.70046448720488</v>
      </c>
      <c r="L42" s="4" t="n">
        <v>1.369279130481114</v>
      </c>
      <c r="M42" s="4" t="inlineStr">
        <is>
          <t>no</t>
        </is>
      </c>
      <c r="N42" s="4" t="inlineStr">
        <is>
          <t>yes</t>
        </is>
      </c>
      <c r="O42" s="25" t="n">
        <v>0.5319579461176518</v>
      </c>
      <c r="P42" s="4" t="inlineStr">
        <is>
          <t>unknown</t>
        </is>
      </c>
      <c r="Q42" s="4" t="inlineStr">
        <is>
          <t>unknown</t>
        </is>
      </c>
      <c r="R42" s="25" t="n">
        <v>0.7016969855809275</v>
      </c>
    </row>
    <row r="43">
      <c r="A43" s="4" t="inlineStr">
        <is>
          <t>SYN-20260820-0036</t>
        </is>
      </c>
      <c r="B43" s="4" t="inlineStr">
        <is>
          <t>2026-02-19</t>
        </is>
      </c>
      <c r="C43" s="4" t="n">
        <v>71</v>
      </c>
      <c r="D43" s="4" t="inlineStr">
        <is>
          <t>male</t>
        </is>
      </c>
      <c r="E43" s="4" t="inlineStr">
        <is>
          <t>pancreatic</t>
        </is>
      </c>
      <c r="F43" s="4" t="inlineStr">
        <is>
          <t>III</t>
        </is>
      </c>
      <c r="G43" s="4" t="n">
        <v>181.4</v>
      </c>
      <c r="H43" s="4" t="n">
        <v>1</v>
      </c>
      <c r="I43" s="4" t="inlineStr">
        <is>
          <t>yes</t>
        </is>
      </c>
      <c r="J43" s="4" t="inlineStr">
        <is>
          <t>unknown</t>
        </is>
      </c>
      <c r="K43" s="4" t="n">
        <v>25.04318366642395</v>
      </c>
      <c r="L43" s="4" t="n">
        <v>2.510381052656485</v>
      </c>
      <c r="M43" s="4" t="inlineStr">
        <is>
          <t>unknown</t>
        </is>
      </c>
      <c r="N43" s="4" t="inlineStr">
        <is>
          <t>unknown</t>
        </is>
      </c>
      <c r="O43" s="25" t="n">
        <v>0.6955825057803101</v>
      </c>
      <c r="P43" s="4" t="inlineStr">
        <is>
          <t>yes</t>
        </is>
      </c>
      <c r="Q43" s="4" t="inlineStr">
        <is>
          <t>no</t>
        </is>
      </c>
      <c r="R43" s="25" t="n">
        <v>0.8215020267653084</v>
      </c>
    </row>
    <row r="44">
      <c r="A44" s="4" t="inlineStr">
        <is>
          <t>SYN-20260820-0037</t>
        </is>
      </c>
      <c r="B44" s="4" t="inlineStr">
        <is>
          <t>2026-02-20</t>
        </is>
      </c>
      <c r="C44" s="4" t="n">
        <v>67</v>
      </c>
      <c r="D44" s="4" t="inlineStr">
        <is>
          <t>female</t>
        </is>
      </c>
      <c r="E44" s="4" t="inlineStr">
        <is>
          <t>pancreatic</t>
        </is>
      </c>
      <c r="F44" s="4" t="inlineStr">
        <is>
          <t>II</t>
        </is>
      </c>
      <c r="G44" s="4" t="n">
        <v>156.6</v>
      </c>
      <c r="H44" s="4" t="n">
        <v>2</v>
      </c>
      <c r="I44" s="4" t="inlineStr">
        <is>
          <t>yes</t>
        </is>
      </c>
      <c r="J44" s="4" t="inlineStr">
        <is>
          <t>no</t>
        </is>
      </c>
      <c r="K44" s="4" t="n">
        <v>22.68390070609651</v>
      </c>
      <c r="L44" s="4" t="n">
        <v>2.545460915875412</v>
      </c>
      <c r="M44" s="4" t="inlineStr">
        <is>
          <t>no</t>
        </is>
      </c>
      <c r="N44" s="4" t="inlineStr">
        <is>
          <t>yes</t>
        </is>
      </c>
      <c r="O44" s="25" t="n">
        <v>0.7070107431880039</v>
      </c>
      <c r="P44" s="4" t="inlineStr">
        <is>
          <t>yes</t>
        </is>
      </c>
      <c r="Q44" s="4" t="inlineStr">
        <is>
          <t>no</t>
        </is>
      </c>
      <c r="R44" s="25" t="n">
        <v>0.8364186899859972</v>
      </c>
    </row>
    <row r="45">
      <c r="A45" s="4" t="inlineStr">
        <is>
          <t>SYN-20260820-0038</t>
        </is>
      </c>
      <c r="B45" s="4" t="inlineStr">
        <is>
          <t>2026-02-21</t>
        </is>
      </c>
      <c r="C45" s="4" t="n">
        <v>74</v>
      </c>
      <c r="D45" s="4" t="inlineStr">
        <is>
          <t>female</t>
        </is>
      </c>
      <c r="E45" s="4" t="inlineStr">
        <is>
          <t>head and neck</t>
        </is>
      </c>
      <c r="F45" s="4" t="inlineStr">
        <is>
          <t>unknown</t>
        </is>
      </c>
      <c r="G45" s="4" t="n">
        <v>156.7</v>
      </c>
      <c r="H45" s="4" t="n">
        <v>1</v>
      </c>
      <c r="I45" s="4" t="inlineStr">
        <is>
          <t>no</t>
        </is>
      </c>
      <c r="J45" s="4" t="inlineStr">
        <is>
          <t>no</t>
        </is>
      </c>
      <c r="K45" s="4" t="n">
        <v>24.4623372371043</v>
      </c>
      <c r="L45" s="4" t="n">
        <v>0.6992891387006147</v>
      </c>
      <c r="M45" s="4" t="inlineStr">
        <is>
          <t>no</t>
        </is>
      </c>
      <c r="N45" s="4" t="inlineStr">
        <is>
          <t>no</t>
        </is>
      </c>
      <c r="O45" s="25" t="n">
        <v>0.2574829341484129</v>
      </c>
      <c r="P45" s="4" t="inlineStr">
        <is>
          <t>no</t>
        </is>
      </c>
      <c r="Q45" s="4" t="inlineStr">
        <is>
          <t>no</t>
        </is>
      </c>
      <c r="R45" s="25" t="n">
        <v>0.3905248367074972</v>
      </c>
    </row>
    <row r="46">
      <c r="A46" s="4" t="inlineStr">
        <is>
          <t>SYN-20260820-0039</t>
        </is>
      </c>
      <c r="B46" s="4" t="inlineStr">
        <is>
          <t>2026-02-22</t>
        </is>
      </c>
      <c r="C46" s="4" t="n">
        <v>68</v>
      </c>
      <c r="D46" s="4" t="inlineStr">
        <is>
          <t>female</t>
        </is>
      </c>
      <c r="E46" s="4" t="inlineStr">
        <is>
          <t>other solid tumour</t>
        </is>
      </c>
      <c r="F46" s="4" t="inlineStr">
        <is>
          <t>IV</t>
        </is>
      </c>
      <c r="G46" s="4" t="n">
        <v>157.6</v>
      </c>
      <c r="H46" s="4" t="inlineStr">
        <is>
          <t>unknown</t>
        </is>
      </c>
      <c r="I46" s="4" t="inlineStr">
        <is>
          <t>no</t>
        </is>
      </c>
      <c r="J46" s="4" t="inlineStr">
        <is>
          <t>no</t>
        </is>
      </c>
      <c r="K46" s="4" t="n">
        <v>18.98037504187173</v>
      </c>
      <c r="L46" s="4" t="n">
        <v>1.55160172075346</v>
      </c>
      <c r="M46" s="4" t="inlineStr">
        <is>
          <t>no</t>
        </is>
      </c>
      <c r="N46" s="4" t="inlineStr">
        <is>
          <t>no</t>
        </is>
      </c>
      <c r="O46" s="25" t="n">
        <v>0.4754468206568105</v>
      </c>
      <c r="P46" s="4" t="inlineStr">
        <is>
          <t>yes</t>
        </is>
      </c>
      <c r="Q46" s="4" t="inlineStr">
        <is>
          <t>no</t>
        </is>
      </c>
      <c r="R46" s="25" t="n">
        <v>0.6416976956509046</v>
      </c>
    </row>
    <row r="47">
      <c r="A47" s="4" t="inlineStr">
        <is>
          <t>SYN-20260820-0040</t>
        </is>
      </c>
      <c r="B47" s="4" t="inlineStr">
        <is>
          <t>2026-02-23</t>
        </is>
      </c>
      <c r="C47" s="4" t="n">
        <v>65</v>
      </c>
      <c r="D47" s="4" t="inlineStr">
        <is>
          <t>female</t>
        </is>
      </c>
      <c r="E47" s="4" t="inlineStr">
        <is>
          <t>prostate</t>
        </is>
      </c>
      <c r="F47" s="4" t="inlineStr">
        <is>
          <t>IV</t>
        </is>
      </c>
      <c r="G47" s="4" t="n">
        <v>160.8</v>
      </c>
      <c r="H47" s="4" t="n">
        <v>0</v>
      </c>
      <c r="I47" s="4" t="inlineStr">
        <is>
          <t>yes</t>
        </is>
      </c>
      <c r="J47" s="4" t="inlineStr">
        <is>
          <t>no</t>
        </is>
      </c>
      <c r="K47" s="4" t="n">
        <v>34.41630467067647</v>
      </c>
      <c r="L47" s="4" t="n">
        <v>1.006741273054933</v>
      </c>
      <c r="M47" s="4" t="inlineStr">
        <is>
          <t>no</t>
        </is>
      </c>
      <c r="N47" s="4" t="inlineStr">
        <is>
          <t>no</t>
        </is>
      </c>
      <c r="O47" s="25" t="n">
        <v>0.4578195833265512</v>
      </c>
      <c r="P47" s="4" t="inlineStr">
        <is>
          <t>no</t>
        </is>
      </c>
      <c r="Q47" s="4" t="inlineStr">
        <is>
          <t>yes</t>
        </is>
      </c>
      <c r="R47" s="25" t="n">
        <v>0.6343701632052863</v>
      </c>
    </row>
    <row r="48">
      <c r="A48" s="4" t="inlineStr">
        <is>
          <t>SYN-20260820-0041</t>
        </is>
      </c>
      <c r="B48" s="4" t="inlineStr">
        <is>
          <t>2026-02-24</t>
        </is>
      </c>
      <c r="C48" s="4" t="n">
        <v>48</v>
      </c>
      <c r="D48" s="4" t="inlineStr">
        <is>
          <t>male</t>
        </is>
      </c>
      <c r="E48" s="4" t="inlineStr">
        <is>
          <t>oesophageal</t>
        </is>
      </c>
      <c r="F48" s="4" t="inlineStr">
        <is>
          <t>II</t>
        </is>
      </c>
      <c r="G48" s="4" t="n">
        <v>169.2</v>
      </c>
      <c r="H48" s="4" t="n">
        <v>0</v>
      </c>
      <c r="I48" s="4" t="inlineStr">
        <is>
          <t>yes</t>
        </is>
      </c>
      <c r="J48" s="4" t="inlineStr">
        <is>
          <t>unknown</t>
        </is>
      </c>
      <c r="K48" s="4" t="n">
        <v>25.08292395307636</v>
      </c>
      <c r="L48" s="4" t="n">
        <v>1.179368618060715</v>
      </c>
      <c r="M48" s="4" t="inlineStr">
        <is>
          <t>unknown</t>
        </is>
      </c>
      <c r="N48" s="4" t="inlineStr">
        <is>
          <t>unknown</t>
        </is>
      </c>
      <c r="O48" s="25" t="n">
        <v>0.4021097662806388</v>
      </c>
      <c r="P48" s="4" t="inlineStr">
        <is>
          <t>yes</t>
        </is>
      </c>
      <c r="Q48" s="4" t="inlineStr">
        <is>
          <t>no</t>
        </is>
      </c>
      <c r="R48" s="25" t="n">
        <v>0.5687873524942918</v>
      </c>
    </row>
    <row r="49">
      <c r="A49" s="4" t="inlineStr">
        <is>
          <t>SYN-20260820-0042</t>
        </is>
      </c>
      <c r="B49" s="4" t="inlineStr">
        <is>
          <t>2026-02-25</t>
        </is>
      </c>
      <c r="C49" s="4" t="n">
        <v>60</v>
      </c>
      <c r="D49" s="4" t="inlineStr">
        <is>
          <t>female</t>
        </is>
      </c>
      <c r="E49" s="4" t="inlineStr">
        <is>
          <t>pancreatic</t>
        </is>
      </c>
      <c r="F49" s="4" t="inlineStr">
        <is>
          <t>III</t>
        </is>
      </c>
      <c r="G49" s="4" t="n">
        <v>165.7</v>
      </c>
      <c r="H49" s="4" t="inlineStr">
        <is>
          <t>unknown</t>
        </is>
      </c>
      <c r="I49" s="4" t="inlineStr">
        <is>
          <t>no</t>
        </is>
      </c>
      <c r="J49" s="4" t="inlineStr">
        <is>
          <t>no</t>
        </is>
      </c>
      <c r="K49" s="4" t="n">
        <v>19.56841533641045</v>
      </c>
      <c r="L49" s="4" t="n">
        <v>2.911147653553547</v>
      </c>
      <c r="M49" s="4" t="inlineStr">
        <is>
          <t>yes</t>
        </is>
      </c>
      <c r="N49" s="4" t="inlineStr">
        <is>
          <t>no</t>
        </is>
      </c>
      <c r="O49" s="25" t="n">
        <v>0.6407104881051555</v>
      </c>
      <c r="P49" s="4" t="inlineStr">
        <is>
          <t>yes</t>
        </is>
      </c>
      <c r="Q49" s="4" t="inlineStr">
        <is>
          <t>no</t>
        </is>
      </c>
      <c r="R49" s="25" t="n">
        <v>0.7835833830914175</v>
      </c>
    </row>
    <row r="50">
      <c r="A50" s="4" t="inlineStr">
        <is>
          <t>SYN-20260820-0043</t>
        </is>
      </c>
      <c r="B50" s="4" t="inlineStr">
        <is>
          <t>2026-02-26</t>
        </is>
      </c>
      <c r="C50" s="4" t="n">
        <v>28</v>
      </c>
      <c r="D50" s="4" t="inlineStr">
        <is>
          <t>unknown</t>
        </is>
      </c>
      <c r="E50" s="4" t="inlineStr">
        <is>
          <t>gastric</t>
        </is>
      </c>
      <c r="F50" s="4" t="inlineStr">
        <is>
          <t>IV</t>
        </is>
      </c>
      <c r="G50" s="4" t="n">
        <v>163.5</v>
      </c>
      <c r="H50" s="4" t="n">
        <v>1</v>
      </c>
      <c r="I50" s="4" t="inlineStr">
        <is>
          <t>no</t>
        </is>
      </c>
      <c r="J50" s="4" t="inlineStr">
        <is>
          <t>no</t>
        </is>
      </c>
      <c r="K50" s="4" t="n">
        <v>28.48693993210448</v>
      </c>
      <c r="L50" s="4" t="n">
        <v>2.17609125709735</v>
      </c>
      <c r="M50" s="4" t="inlineStr">
        <is>
          <t>no</t>
        </is>
      </c>
      <c r="N50" s="4" t="inlineStr">
        <is>
          <t>no</t>
        </is>
      </c>
      <c r="O50" s="25" t="n">
        <v>0.5207111082727695</v>
      </c>
      <c r="P50" s="4" t="inlineStr">
        <is>
          <t>no</t>
        </is>
      </c>
      <c r="Q50" s="4" t="inlineStr">
        <is>
          <t>no</t>
        </is>
      </c>
      <c r="R50" s="25" t="n">
        <v>0.662937800407144</v>
      </c>
    </row>
    <row r="51">
      <c r="A51" s="4" t="inlineStr">
        <is>
          <t>SYN-20260820-0044</t>
        </is>
      </c>
      <c r="B51" s="4" t="inlineStr">
        <is>
          <t>2026-02-27</t>
        </is>
      </c>
      <c r="C51" s="4" t="n">
        <v>50</v>
      </c>
      <c r="D51" s="4" t="inlineStr">
        <is>
          <t>male</t>
        </is>
      </c>
      <c r="E51" s="4" t="inlineStr">
        <is>
          <t>lung</t>
        </is>
      </c>
      <c r="F51" s="4" t="inlineStr">
        <is>
          <t>III</t>
        </is>
      </c>
      <c r="G51" s="4" t="n">
        <v>188.1</v>
      </c>
      <c r="H51" s="4" t="n">
        <v>2</v>
      </c>
      <c r="I51" s="4" t="inlineStr">
        <is>
          <t>unknown</t>
        </is>
      </c>
      <c r="J51" s="4" t="inlineStr">
        <is>
          <t>no</t>
        </is>
      </c>
      <c r="K51" s="4" t="n">
        <v>26.70935550982558</v>
      </c>
      <c r="L51" s="4" t="n">
        <v>2.436455988932708</v>
      </c>
      <c r="M51" s="4" t="inlineStr">
        <is>
          <t>no</t>
        </is>
      </c>
      <c r="N51" s="4" t="inlineStr">
        <is>
          <t>unknown</t>
        </is>
      </c>
      <c r="O51" s="25" t="n">
        <v>0.4791968361491541</v>
      </c>
      <c r="P51" s="4" t="inlineStr">
        <is>
          <t>yes</t>
        </is>
      </c>
      <c r="Q51" s="4" t="inlineStr">
        <is>
          <t>no</t>
        </is>
      </c>
      <c r="R51" s="25" t="n">
        <v>0.6377168755722027</v>
      </c>
    </row>
    <row r="52">
      <c r="A52" s="4" t="inlineStr">
        <is>
          <t>SYN-20260820-0045</t>
        </is>
      </c>
      <c r="B52" s="4" t="inlineStr">
        <is>
          <t>2026-02-28</t>
        </is>
      </c>
      <c r="C52" s="4" t="n">
        <v>67</v>
      </c>
      <c r="D52" s="4" t="inlineStr">
        <is>
          <t>male</t>
        </is>
      </c>
      <c r="E52" s="4" t="inlineStr">
        <is>
          <t>colorectal</t>
        </is>
      </c>
      <c r="F52" s="4" t="inlineStr">
        <is>
          <t>IV</t>
        </is>
      </c>
      <c r="G52" s="4" t="n">
        <v>175.5</v>
      </c>
      <c r="H52" s="4" t="n">
        <v>2</v>
      </c>
      <c r="I52" s="4" t="inlineStr">
        <is>
          <t>yes</t>
        </is>
      </c>
      <c r="J52" s="4" t="inlineStr">
        <is>
          <t>unknown</t>
        </is>
      </c>
      <c r="K52" s="4" t="n">
        <v>19.20081817517715</v>
      </c>
      <c r="L52" s="4" t="n">
        <v>3.285471315496828</v>
      </c>
      <c r="M52" s="4" t="inlineStr">
        <is>
          <t>yes</t>
        </is>
      </c>
      <c r="N52" s="4" t="inlineStr">
        <is>
          <t>no</t>
        </is>
      </c>
      <c r="O52" s="25" t="n">
        <v>0.8215832654691417</v>
      </c>
      <c r="P52" s="4" t="inlineStr">
        <is>
          <t>yes</t>
        </is>
      </c>
      <c r="Q52" s="4" t="inlineStr">
        <is>
          <t>no</t>
        </is>
      </c>
      <c r="R52" s="25" t="n">
        <v>0.9123618840629141</v>
      </c>
    </row>
    <row r="53">
      <c r="A53" s="4" t="inlineStr">
        <is>
          <t>SYN-20260820-0046</t>
        </is>
      </c>
      <c r="B53" s="4" t="inlineStr">
        <is>
          <t>2026-03-01</t>
        </is>
      </c>
      <c r="C53" s="4" t="n">
        <v>45</v>
      </c>
      <c r="D53" s="4" t="inlineStr">
        <is>
          <t>male</t>
        </is>
      </c>
      <c r="E53" s="4" t="inlineStr">
        <is>
          <t>other solid tumour</t>
        </is>
      </c>
      <c r="F53" s="4" t="inlineStr">
        <is>
          <t>III</t>
        </is>
      </c>
      <c r="G53" s="4" t="n">
        <v>167.5</v>
      </c>
      <c r="H53" s="4" t="n">
        <v>1</v>
      </c>
      <c r="I53" s="4" t="inlineStr">
        <is>
          <t>no</t>
        </is>
      </c>
      <c r="J53" s="4" t="inlineStr">
        <is>
          <t>unknown</t>
        </is>
      </c>
      <c r="K53" s="4" t="n">
        <v>26.77157496101582</v>
      </c>
      <c r="M53" s="4" t="inlineStr">
        <is>
          <t>no</t>
        </is>
      </c>
      <c r="N53" s="4" t="inlineStr">
        <is>
          <t>no</t>
        </is>
      </c>
      <c r="O53" s="24" t="n"/>
      <c r="P53" s="4" t="inlineStr">
        <is>
          <t>no</t>
        </is>
      </c>
      <c r="Q53" s="4" t="inlineStr">
        <is>
          <t>no</t>
        </is>
      </c>
      <c r="R53" s="24" t="n"/>
    </row>
    <row r="54">
      <c r="A54" s="4" t="inlineStr">
        <is>
          <t>SYN-20260820-0047</t>
        </is>
      </c>
      <c r="B54" s="4" t="inlineStr">
        <is>
          <t>2026-03-02</t>
        </is>
      </c>
      <c r="C54" s="4" t="n">
        <v>58</v>
      </c>
      <c r="D54" s="4" t="inlineStr">
        <is>
          <t>female</t>
        </is>
      </c>
      <c r="E54" s="4" t="inlineStr">
        <is>
          <t>hepatobiliary</t>
        </is>
      </c>
      <c r="F54" s="4" t="inlineStr">
        <is>
          <t>I</t>
        </is>
      </c>
      <c r="G54" s="4" t="n">
        <v>165.2</v>
      </c>
      <c r="H54" s="4" t="n">
        <v>2</v>
      </c>
      <c r="I54" s="4" t="inlineStr">
        <is>
          <t>yes</t>
        </is>
      </c>
      <c r="J54" s="4" t="inlineStr">
        <is>
          <t>no</t>
        </is>
      </c>
      <c r="K54" s="4" t="n">
        <v>19.42065967438398</v>
      </c>
      <c r="L54" s="4" t="n">
        <v>2.594968114237405</v>
      </c>
      <c r="M54" s="4" t="inlineStr">
        <is>
          <t>yes</t>
        </is>
      </c>
      <c r="N54" s="4" t="inlineStr">
        <is>
          <t>no</t>
        </is>
      </c>
      <c r="O54" s="25" t="n">
        <v>0.7571920015413377</v>
      </c>
      <c r="P54" s="4" t="inlineStr">
        <is>
          <t>yes</t>
        </is>
      </c>
      <c r="Q54" s="4" t="inlineStr">
        <is>
          <t>no</t>
        </is>
      </c>
      <c r="R54" s="25" t="n">
        <v>0.8742691992500747</v>
      </c>
    </row>
    <row r="55">
      <c r="A55" s="4" t="inlineStr">
        <is>
          <t>SYN-20260820-0048</t>
        </is>
      </c>
      <c r="B55" s="4" t="inlineStr">
        <is>
          <t>2026-03-03</t>
        </is>
      </c>
      <c r="C55" s="4" t="n">
        <v>66</v>
      </c>
      <c r="D55" s="4" t="inlineStr">
        <is>
          <t>female</t>
        </is>
      </c>
      <c r="E55" s="4" t="inlineStr">
        <is>
          <t>gastric</t>
        </is>
      </c>
      <c r="F55" s="4" t="inlineStr">
        <is>
          <t>III</t>
        </is>
      </c>
      <c r="G55" s="4" t="n">
        <v>160.9</v>
      </c>
      <c r="H55" s="4" t="n">
        <v>3</v>
      </c>
      <c r="I55" s="4" t="inlineStr">
        <is>
          <t>yes</t>
        </is>
      </c>
      <c r="J55" s="4" t="inlineStr">
        <is>
          <t>no</t>
        </is>
      </c>
      <c r="K55" s="4" t="n">
        <v>26.56360025818104</v>
      </c>
      <c r="L55" s="4" t="n">
        <v>2.322278247283581</v>
      </c>
      <c r="M55" s="4" t="inlineStr">
        <is>
          <t>no</t>
        </is>
      </c>
      <c r="N55" s="4" t="inlineStr">
        <is>
          <t>yes</t>
        </is>
      </c>
      <c r="O55" s="25" t="n">
        <v>0.7861539327459771</v>
      </c>
      <c r="P55" s="4" t="inlineStr">
        <is>
          <t>yes</t>
        </is>
      </c>
      <c r="Q55" s="4" t="inlineStr">
        <is>
          <t>no</t>
        </is>
      </c>
      <c r="R55" s="25" t="n">
        <v>0.8907418999233366</v>
      </c>
    </row>
    <row r="56">
      <c r="A56" s="4" t="inlineStr">
        <is>
          <t>SYN-20260820-0049</t>
        </is>
      </c>
      <c r="B56" s="4" t="inlineStr">
        <is>
          <t>2026-03-04</t>
        </is>
      </c>
      <c r="C56" s="4" t="n">
        <v>80</v>
      </c>
      <c r="D56" s="4" t="inlineStr">
        <is>
          <t>female</t>
        </is>
      </c>
      <c r="E56" s="4" t="inlineStr">
        <is>
          <t>hepatobiliary</t>
        </is>
      </c>
      <c r="F56" s="4" t="inlineStr">
        <is>
          <t>II</t>
        </is>
      </c>
      <c r="G56" s="4" t="n">
        <v>164.8</v>
      </c>
      <c r="H56" s="4" t="n">
        <v>1</v>
      </c>
      <c r="I56" s="4" t="inlineStr">
        <is>
          <t>no</t>
        </is>
      </c>
      <c r="J56" s="4" t="inlineStr">
        <is>
          <t>no</t>
        </is>
      </c>
      <c r="K56" s="4" t="n">
        <v>17.886493778867</v>
      </c>
      <c r="L56" s="4" t="n">
        <v>0.5954695205549465</v>
      </c>
      <c r="M56" s="4" t="inlineStr">
        <is>
          <t>no</t>
        </is>
      </c>
      <c r="N56" s="4" t="inlineStr">
        <is>
          <t>no</t>
        </is>
      </c>
      <c r="O56" s="25" t="n">
        <v>0.4943529995364387</v>
      </c>
      <c r="P56" s="4" t="inlineStr">
        <is>
          <t>yes</t>
        </is>
      </c>
      <c r="Q56" s="4" t="inlineStr">
        <is>
          <t>no</t>
        </is>
      </c>
      <c r="R56" s="25" t="n">
        <v>0.6545998262947388</v>
      </c>
    </row>
    <row r="57">
      <c r="A57" s="4" t="inlineStr">
        <is>
          <t>SYN-20260820-0050</t>
        </is>
      </c>
      <c r="B57" s="4" t="inlineStr">
        <is>
          <t>2026-03-05</t>
        </is>
      </c>
      <c r="C57" s="4" t="n">
        <v>69</v>
      </c>
      <c r="D57" s="4" t="inlineStr">
        <is>
          <t>male</t>
        </is>
      </c>
      <c r="E57" s="4" t="inlineStr">
        <is>
          <t>breast</t>
        </is>
      </c>
      <c r="F57" s="4" t="inlineStr">
        <is>
          <t>unknown</t>
        </is>
      </c>
      <c r="G57" s="4" t="n">
        <v>174</v>
      </c>
      <c r="H57" s="4" t="n">
        <v>0</v>
      </c>
      <c r="I57" s="4" t="inlineStr">
        <is>
          <t>no</t>
        </is>
      </c>
      <c r="J57" s="4" t="inlineStr">
        <is>
          <t>no</t>
        </is>
      </c>
      <c r="K57" s="4" t="n">
        <v>28.23853877658872</v>
      </c>
      <c r="L57" s="4" t="n">
        <v>-0.3109233837850529</v>
      </c>
      <c r="M57" s="4" t="inlineStr">
        <is>
          <t>no</t>
        </is>
      </c>
      <c r="N57" s="4" t="inlineStr">
        <is>
          <t>no</t>
        </is>
      </c>
      <c r="O57" s="25" t="n">
        <v>0.1140523812797909</v>
      </c>
      <c r="P57" s="4" t="inlineStr">
        <is>
          <t>no</t>
        </is>
      </c>
      <c r="Q57" s="4" t="inlineStr">
        <is>
          <t>no</t>
        </is>
      </c>
      <c r="R57" s="25" t="n">
        <v>0.1978161114414183</v>
      </c>
    </row>
    <row r="58">
      <c r="A58" s="4" t="inlineStr">
        <is>
          <t>SYN-20260820-0051</t>
        </is>
      </c>
      <c r="B58" s="4" t="inlineStr">
        <is>
          <t>2026-03-06</t>
        </is>
      </c>
      <c r="C58" s="4" t="n">
        <v>25</v>
      </c>
      <c r="D58" s="4" t="inlineStr">
        <is>
          <t>male</t>
        </is>
      </c>
      <c r="E58" s="4" t="inlineStr">
        <is>
          <t>other solid tumour</t>
        </is>
      </c>
      <c r="F58" s="4" t="inlineStr">
        <is>
          <t>II</t>
        </is>
      </c>
      <c r="G58" s="4" t="n">
        <v>170</v>
      </c>
      <c r="H58" s="4" t="n">
        <v>3</v>
      </c>
      <c r="I58" s="4" t="inlineStr">
        <is>
          <t>unknown</t>
        </is>
      </c>
      <c r="J58" s="4" t="inlineStr">
        <is>
          <t>no</t>
        </is>
      </c>
      <c r="K58" s="4" t="n">
        <v>29.19723183391003</v>
      </c>
      <c r="L58" s="4" t="n">
        <v>0.1691847189522387</v>
      </c>
      <c r="M58" s="4" t="inlineStr">
        <is>
          <t>no</t>
        </is>
      </c>
      <c r="N58" s="4" t="inlineStr">
        <is>
          <t>no</t>
        </is>
      </c>
      <c r="O58" s="25" t="n">
        <v>0.2833294316576135</v>
      </c>
      <c r="P58" s="4" t="inlineStr">
        <is>
          <t>no</t>
        </is>
      </c>
      <c r="Q58" s="4" t="inlineStr">
        <is>
          <t>no</t>
        </is>
      </c>
      <c r="R58" s="25" t="n">
        <v>0.4317726828758787</v>
      </c>
    </row>
    <row r="59">
      <c r="A59" s="4" t="inlineStr">
        <is>
          <t>SYN-20260820-0052</t>
        </is>
      </c>
      <c r="B59" s="4" t="inlineStr">
        <is>
          <t>2026-03-07</t>
        </is>
      </c>
      <c r="C59" s="4" t="n">
        <v>58</v>
      </c>
      <c r="D59" s="4" t="inlineStr">
        <is>
          <t>male</t>
        </is>
      </c>
      <c r="E59" s="4" t="inlineStr">
        <is>
          <t>lung</t>
        </is>
      </c>
      <c r="F59" s="4" t="inlineStr">
        <is>
          <t>II</t>
        </is>
      </c>
      <c r="G59" s="4" t="n">
        <v>176.1</v>
      </c>
      <c r="H59" s="4" t="n">
        <v>0</v>
      </c>
      <c r="I59" s="4" t="inlineStr">
        <is>
          <t>yes</t>
        </is>
      </c>
      <c r="J59" s="4" t="inlineStr">
        <is>
          <t>unknown</t>
        </is>
      </c>
      <c r="K59" s="4" t="n">
        <v>26.72033758115211</v>
      </c>
      <c r="L59" s="4" t="n">
        <v>1.243057707434517</v>
      </c>
      <c r="M59" s="4" t="inlineStr">
        <is>
          <t>unknown</t>
        </is>
      </c>
      <c r="N59" s="4" t="inlineStr">
        <is>
          <t>unknown</t>
        </is>
      </c>
      <c r="O59" s="25" t="n">
        <v>0.4161975815071287</v>
      </c>
      <c r="P59" s="4" t="inlineStr">
        <is>
          <t>unknown</t>
        </is>
      </c>
      <c r="Q59" s="4" t="inlineStr">
        <is>
          <t>unknown</t>
        </is>
      </c>
      <c r="R59" s="25" t="n">
        <v>0.5954299029650064</v>
      </c>
    </row>
    <row r="60">
      <c r="A60" s="4" t="inlineStr">
        <is>
          <t>SYN-20260820-0053</t>
        </is>
      </c>
      <c r="B60" s="4" t="inlineStr">
        <is>
          <t>2026-03-08</t>
        </is>
      </c>
      <c r="C60" s="4" t="n">
        <v>85</v>
      </c>
      <c r="D60" s="4" t="inlineStr">
        <is>
          <t>male</t>
        </is>
      </c>
      <c r="E60" s="4" t="inlineStr">
        <is>
          <t>lung</t>
        </is>
      </c>
      <c r="F60" s="4" t="inlineStr">
        <is>
          <t>III</t>
        </is>
      </c>
      <c r="G60" s="4" t="n">
        <v>163.3</v>
      </c>
      <c r="H60" s="4" t="n">
        <v>1</v>
      </c>
      <c r="I60" s="4" t="inlineStr">
        <is>
          <t>yes</t>
        </is>
      </c>
      <c r="J60" s="4" t="inlineStr">
        <is>
          <t>no</t>
        </is>
      </c>
      <c r="K60" s="4" t="n">
        <v>22.9441828424687</v>
      </c>
      <c r="L60" s="4" t="n">
        <v>1.87792674321637</v>
      </c>
      <c r="M60" s="4" t="inlineStr">
        <is>
          <t>no</t>
        </is>
      </c>
      <c r="N60" s="4" t="inlineStr">
        <is>
          <t>yes</t>
        </is>
      </c>
      <c r="O60" s="25" t="n">
        <v>0.5851935148758862</v>
      </c>
      <c r="P60" s="4" t="inlineStr">
        <is>
          <t>no</t>
        </is>
      </c>
      <c r="Q60" s="4" t="inlineStr">
        <is>
          <t>yes</t>
        </is>
      </c>
      <c r="R60" s="25" t="n">
        <v>0.7372432148834728</v>
      </c>
    </row>
    <row r="61">
      <c r="A61" s="4" t="inlineStr">
        <is>
          <t>SYN-20260820-0054</t>
        </is>
      </c>
      <c r="B61" s="4" t="inlineStr">
        <is>
          <t>2026-03-09</t>
        </is>
      </c>
      <c r="C61" s="4" t="n">
        <v>65</v>
      </c>
      <c r="D61" s="4" t="inlineStr">
        <is>
          <t>female</t>
        </is>
      </c>
      <c r="E61" s="4" t="inlineStr">
        <is>
          <t>hepatobiliary</t>
        </is>
      </c>
      <c r="F61" s="4" t="inlineStr">
        <is>
          <t>III</t>
        </is>
      </c>
      <c r="G61" s="4" t="n">
        <v>161.9</v>
      </c>
      <c r="H61" s="4" t="n">
        <v>1</v>
      </c>
      <c r="I61" s="4" t="inlineStr">
        <is>
          <t>no</t>
        </is>
      </c>
      <c r="J61" s="4" t="inlineStr">
        <is>
          <t>no</t>
        </is>
      </c>
      <c r="K61" s="4" t="n">
        <v>23.59145432119584</v>
      </c>
      <c r="L61" s="4" t="n">
        <v>2.489907909675781</v>
      </c>
      <c r="M61" s="4" t="inlineStr">
        <is>
          <t>no</t>
        </is>
      </c>
      <c r="N61" s="4" t="inlineStr">
        <is>
          <t>no</t>
        </is>
      </c>
      <c r="O61" s="25" t="n">
        <v>0.5184136757444385</v>
      </c>
      <c r="P61" s="4" t="inlineStr">
        <is>
          <t>yes</t>
        </is>
      </c>
      <c r="Q61" s="4" t="inlineStr">
        <is>
          <t>no</t>
        </is>
      </c>
      <c r="R61" s="25" t="n">
        <v>0.673374236648051</v>
      </c>
    </row>
    <row r="62">
      <c r="A62" s="4" t="inlineStr">
        <is>
          <t>SYN-20260820-0055</t>
        </is>
      </c>
      <c r="B62" s="4" t="inlineStr">
        <is>
          <t>2026-03-10</t>
        </is>
      </c>
      <c r="C62" s="4" t="n">
        <v>37</v>
      </c>
      <c r="D62" s="4" t="inlineStr">
        <is>
          <t>female</t>
        </is>
      </c>
      <c r="E62" s="4" t="inlineStr">
        <is>
          <t>colorectal</t>
        </is>
      </c>
      <c r="F62" s="4" t="inlineStr">
        <is>
          <t>III</t>
        </is>
      </c>
      <c r="G62" s="4" t="n">
        <v>156.6</v>
      </c>
      <c r="H62" s="4" t="n">
        <v>1</v>
      </c>
      <c r="I62" s="4" t="inlineStr">
        <is>
          <t>no</t>
        </is>
      </c>
      <c r="J62" s="4" t="inlineStr">
        <is>
          <t>no</t>
        </is>
      </c>
      <c r="K62" s="4" t="n">
        <v>32.4182133425979</v>
      </c>
      <c r="L62" s="4" t="n">
        <v>1.549187636219525</v>
      </c>
      <c r="M62" s="4" t="inlineStr">
        <is>
          <t>no</t>
        </is>
      </c>
      <c r="N62" s="4" t="inlineStr">
        <is>
          <t>no</t>
        </is>
      </c>
      <c r="O62" s="25" t="n">
        <v>0.2692156639289058</v>
      </c>
      <c r="P62" s="4" t="inlineStr">
        <is>
          <t>no</t>
        </is>
      </c>
      <c r="Q62" s="4" t="inlineStr">
        <is>
          <t>no</t>
        </is>
      </c>
      <c r="R62" s="25" t="n">
        <v>0.3970859592632012</v>
      </c>
    </row>
    <row r="63">
      <c r="A63" s="4" t="inlineStr">
        <is>
          <t>SYN-20260820-0056</t>
        </is>
      </c>
      <c r="B63" s="4" t="inlineStr">
        <is>
          <t>2026-03-11</t>
        </is>
      </c>
      <c r="C63" s="4" t="n">
        <v>67</v>
      </c>
      <c r="D63" s="4" t="inlineStr">
        <is>
          <t>unknown</t>
        </is>
      </c>
      <c r="E63" s="4" t="inlineStr">
        <is>
          <t>head and neck</t>
        </is>
      </c>
      <c r="F63" s="4" t="inlineStr">
        <is>
          <t>IV</t>
        </is>
      </c>
      <c r="G63" s="4" t="n">
        <v>173</v>
      </c>
      <c r="H63" s="4" t="n">
        <v>0</v>
      </c>
      <c r="I63" s="4" t="inlineStr">
        <is>
          <t>unknown</t>
        </is>
      </c>
      <c r="J63" s="4" t="inlineStr">
        <is>
          <t>unknown</t>
        </is>
      </c>
      <c r="K63" s="4" t="n">
        <v>22.12837047679508</v>
      </c>
      <c r="L63" s="4" t="n">
        <v>0.9511844938980765</v>
      </c>
      <c r="M63" s="4" t="inlineStr">
        <is>
          <t>no</t>
        </is>
      </c>
      <c r="N63" s="4" t="inlineStr">
        <is>
          <t>unknown</t>
        </is>
      </c>
      <c r="O63" s="25" t="n">
        <v>0.4560273917440154</v>
      </c>
      <c r="P63" s="4" t="inlineStr">
        <is>
          <t>unknown</t>
        </is>
      </c>
      <c r="Q63" s="4" t="inlineStr">
        <is>
          <t>unknown</t>
        </is>
      </c>
      <c r="R63" s="25" t="n">
        <v>0.6207370207515313</v>
      </c>
    </row>
    <row r="64">
      <c r="A64" s="4" t="inlineStr">
        <is>
          <t>SYN-20260820-0057</t>
        </is>
      </c>
      <c r="B64" s="4" t="inlineStr">
        <is>
          <t>2026-03-12</t>
        </is>
      </c>
      <c r="C64" s="4" t="n">
        <v>73</v>
      </c>
      <c r="D64" s="4" t="inlineStr">
        <is>
          <t>male</t>
        </is>
      </c>
      <c r="E64" s="4" t="inlineStr">
        <is>
          <t>gastric</t>
        </is>
      </c>
      <c r="F64" s="4" t="inlineStr">
        <is>
          <t>I</t>
        </is>
      </c>
      <c r="G64" s="4" t="n">
        <v>178.2</v>
      </c>
      <c r="H64" s="4" t="n">
        <v>2</v>
      </c>
      <c r="I64" s="4" t="inlineStr">
        <is>
          <t>no</t>
        </is>
      </c>
      <c r="J64" s="4" t="inlineStr">
        <is>
          <t>no</t>
        </is>
      </c>
      <c r="K64" s="4" t="n">
        <v>38.45286636158317</v>
      </c>
      <c r="L64" s="4" t="n">
        <v>1.814029783538645</v>
      </c>
      <c r="M64" s="4" t="inlineStr">
        <is>
          <t>no</t>
        </is>
      </c>
      <c r="N64" s="4" t="inlineStr">
        <is>
          <t>no</t>
        </is>
      </c>
      <c r="O64" s="25" t="n">
        <v>0.4099490203151114</v>
      </c>
      <c r="P64" s="4" t="inlineStr">
        <is>
          <t>yes</t>
        </is>
      </c>
      <c r="Q64" s="4" t="inlineStr">
        <is>
          <t>no</t>
        </is>
      </c>
      <c r="R64" s="25" t="n">
        <v>0.5798370412207268</v>
      </c>
    </row>
    <row r="65">
      <c r="A65" s="4" t="inlineStr">
        <is>
          <t>SYN-20260820-0058</t>
        </is>
      </c>
      <c r="B65" s="4" t="inlineStr">
        <is>
          <t>2026-03-13</t>
        </is>
      </c>
      <c r="C65" s="4" t="n">
        <v>55</v>
      </c>
      <c r="D65" s="4" t="inlineStr">
        <is>
          <t>male</t>
        </is>
      </c>
      <c r="E65" s="4" t="inlineStr">
        <is>
          <t>pancreatic</t>
        </is>
      </c>
      <c r="F65" s="4" t="inlineStr">
        <is>
          <t>I</t>
        </is>
      </c>
      <c r="G65" s="4" t="n">
        <v>174.2</v>
      </c>
      <c r="H65" s="4" t="n">
        <v>1</v>
      </c>
      <c r="I65" s="4" t="inlineStr">
        <is>
          <t>no</t>
        </is>
      </c>
      <c r="J65" s="4" t="inlineStr">
        <is>
          <t>no</t>
        </is>
      </c>
      <c r="K65" s="4" t="n">
        <v>24.59002347618966</v>
      </c>
      <c r="M65" s="4" t="inlineStr">
        <is>
          <t>no</t>
        </is>
      </c>
      <c r="N65" s="4" t="inlineStr">
        <is>
          <t>no</t>
        </is>
      </c>
      <c r="O65" s="24" t="n"/>
      <c r="P65" s="4" t="inlineStr">
        <is>
          <t>no</t>
        </is>
      </c>
      <c r="Q65" s="4" t="inlineStr">
        <is>
          <t>no</t>
        </is>
      </c>
      <c r="R65" s="24" t="n"/>
    </row>
    <row r="66">
      <c r="A66" s="4" t="inlineStr">
        <is>
          <t>SYN-20260820-0059</t>
        </is>
      </c>
      <c r="B66" s="4" t="inlineStr">
        <is>
          <t>2026-03-14</t>
        </is>
      </c>
      <c r="C66" s="4" t="n">
        <v>70</v>
      </c>
      <c r="D66" s="4" t="inlineStr">
        <is>
          <t>female</t>
        </is>
      </c>
      <c r="E66" s="4" t="inlineStr">
        <is>
          <t>breast</t>
        </is>
      </c>
      <c r="F66" s="4" t="inlineStr">
        <is>
          <t>III</t>
        </is>
      </c>
      <c r="G66" s="4" t="n">
        <v>159.5</v>
      </c>
      <c r="H66" s="4" t="n">
        <v>2</v>
      </c>
      <c r="I66" s="4" t="inlineStr">
        <is>
          <t>yes</t>
        </is>
      </c>
      <c r="J66" s="4" t="inlineStr">
        <is>
          <t>no</t>
        </is>
      </c>
      <c r="K66" s="4" t="n">
        <v>26.11530940144063</v>
      </c>
      <c r="M66" s="4" t="inlineStr">
        <is>
          <t>no</t>
        </is>
      </c>
      <c r="N66" s="4" t="inlineStr">
        <is>
          <t>no</t>
        </is>
      </c>
      <c r="O66" s="24" t="n"/>
      <c r="P66" s="4" t="inlineStr">
        <is>
          <t>no</t>
        </is>
      </c>
      <c r="Q66" s="4" t="inlineStr">
        <is>
          <t>no</t>
        </is>
      </c>
      <c r="R66" s="24" t="n"/>
    </row>
    <row r="67">
      <c r="A67" s="4" t="inlineStr">
        <is>
          <t>SYN-20260820-0060</t>
        </is>
      </c>
      <c r="B67" s="4" t="inlineStr">
        <is>
          <t>2026-03-15</t>
        </is>
      </c>
      <c r="C67" s="4" t="n">
        <v>33</v>
      </c>
      <c r="D67" s="4" t="inlineStr">
        <is>
          <t>male</t>
        </is>
      </c>
      <c r="E67" s="4" t="inlineStr">
        <is>
          <t>pancreatic</t>
        </is>
      </c>
      <c r="F67" s="4" t="inlineStr">
        <is>
          <t>IV</t>
        </is>
      </c>
      <c r="G67" s="4" t="n">
        <v>176.3</v>
      </c>
      <c r="H67" s="4" t="n">
        <v>1</v>
      </c>
      <c r="I67" s="4" t="inlineStr">
        <is>
          <t>yes</t>
        </is>
      </c>
      <c r="J67" s="4" t="inlineStr">
        <is>
          <t>unknown</t>
        </is>
      </c>
      <c r="K67" s="4" t="n">
        <v>29.38578951144548</v>
      </c>
      <c r="L67" s="4" t="n">
        <v>3.745389398250608</v>
      </c>
      <c r="M67" s="4" t="inlineStr">
        <is>
          <t>unknown</t>
        </is>
      </c>
      <c r="N67" s="4" t="inlineStr">
        <is>
          <t>unknown</t>
        </is>
      </c>
      <c r="O67" s="25" t="n">
        <v>0.7750240618993477</v>
      </c>
      <c r="P67" s="4" t="inlineStr">
        <is>
          <t>yes</t>
        </is>
      </c>
      <c r="Q67" s="4" t="inlineStr">
        <is>
          <t>no</t>
        </is>
      </c>
      <c r="R67" s="25" t="n">
        <v>0.871222176990778</v>
      </c>
    </row>
    <row r="68">
      <c r="A68" s="4" t="inlineStr">
        <is>
          <t>SYN-20260820-0061</t>
        </is>
      </c>
      <c r="B68" s="4" t="inlineStr">
        <is>
          <t>2026-01-15</t>
        </is>
      </c>
      <c r="C68" s="4" t="n">
        <v>61</v>
      </c>
      <c r="D68" s="4" t="inlineStr">
        <is>
          <t>female</t>
        </is>
      </c>
      <c r="E68" s="4" t="inlineStr">
        <is>
          <t>lung</t>
        </is>
      </c>
      <c r="F68" s="4" t="inlineStr">
        <is>
          <t>III</t>
        </is>
      </c>
      <c r="G68" s="4" t="n">
        <v>157.1</v>
      </c>
      <c r="H68" s="4" t="n">
        <v>2</v>
      </c>
      <c r="I68" s="4" t="inlineStr">
        <is>
          <t>no</t>
        </is>
      </c>
      <c r="J68" s="4" t="inlineStr">
        <is>
          <t>no</t>
        </is>
      </c>
      <c r="K68" s="4" t="n">
        <v>24.49108422428963</v>
      </c>
      <c r="L68" s="4" t="n">
        <v>3.115933898603925</v>
      </c>
      <c r="M68" s="4" t="inlineStr">
        <is>
          <t>no</t>
        </is>
      </c>
      <c r="N68" s="4" t="inlineStr">
        <is>
          <t>no</t>
        </is>
      </c>
      <c r="O68" s="25" t="n">
        <v>0.5262437119298597</v>
      </c>
      <c r="P68" s="4" t="inlineStr">
        <is>
          <t>yes</t>
        </is>
      </c>
      <c r="Q68" s="4" t="inlineStr">
        <is>
          <t>no</t>
        </is>
      </c>
      <c r="R68" s="25" t="n">
        <v>0.6936820468704199</v>
      </c>
    </row>
    <row r="69">
      <c r="A69" s="4" t="inlineStr">
        <is>
          <t>SYN-20260820-0062</t>
        </is>
      </c>
      <c r="B69" s="4" t="inlineStr">
        <is>
          <t>2026-01-16</t>
        </is>
      </c>
      <c r="C69" s="4" t="n">
        <v>75</v>
      </c>
      <c r="D69" s="4" t="inlineStr">
        <is>
          <t>female</t>
        </is>
      </c>
      <c r="E69" s="4" t="inlineStr">
        <is>
          <t>head and neck</t>
        </is>
      </c>
      <c r="F69" s="4" t="inlineStr">
        <is>
          <t>III</t>
        </is>
      </c>
      <c r="G69" s="4" t="n">
        <v>153.1</v>
      </c>
      <c r="H69" s="4" t="n">
        <v>2</v>
      </c>
      <c r="I69" s="4" t="inlineStr">
        <is>
          <t>yes</t>
        </is>
      </c>
      <c r="J69" s="4" t="inlineStr">
        <is>
          <t>no</t>
        </is>
      </c>
      <c r="K69" s="4" t="n">
        <v>25.62542636161609</v>
      </c>
      <c r="L69" s="4" t="n">
        <v>1.971504577872808</v>
      </c>
      <c r="M69" s="4" t="inlineStr">
        <is>
          <t>no</t>
        </is>
      </c>
      <c r="N69" s="4" t="inlineStr">
        <is>
          <t>yes</t>
        </is>
      </c>
      <c r="O69" s="25" t="n">
        <v>0.669582105667735</v>
      </c>
      <c r="P69" s="4" t="inlineStr">
        <is>
          <t>yes</t>
        </is>
      </c>
      <c r="Q69" s="4" t="inlineStr">
        <is>
          <t>no</t>
        </is>
      </c>
      <c r="R69" s="25" t="n">
        <v>0.8093397412297325</v>
      </c>
    </row>
    <row r="70">
      <c r="A70" s="4" t="inlineStr">
        <is>
          <t>SYN-20260820-0063</t>
        </is>
      </c>
      <c r="B70" s="4" t="inlineStr">
        <is>
          <t>2026-01-17</t>
        </is>
      </c>
      <c r="C70" s="4" t="n">
        <v>58</v>
      </c>
      <c r="D70" s="4" t="inlineStr">
        <is>
          <t>male</t>
        </is>
      </c>
      <c r="E70" s="4" t="inlineStr">
        <is>
          <t>pancreatic</t>
        </is>
      </c>
      <c r="F70" s="4" t="inlineStr">
        <is>
          <t>III</t>
        </is>
      </c>
      <c r="G70" s="4" t="n">
        <v>184.9</v>
      </c>
      <c r="H70" s="4" t="n">
        <v>2</v>
      </c>
      <c r="I70" s="4" t="inlineStr">
        <is>
          <t>no</t>
        </is>
      </c>
      <c r="J70" s="4" t="inlineStr">
        <is>
          <t>unknown</t>
        </is>
      </c>
      <c r="K70" s="4" t="n">
        <v>24.29506718876004</v>
      </c>
      <c r="L70" s="4" t="n">
        <v>3.026199037967588</v>
      </c>
      <c r="M70" s="4" t="inlineStr">
        <is>
          <t>unknown</t>
        </is>
      </c>
      <c r="N70" s="4" t="inlineStr">
        <is>
          <t>unknown</t>
        </is>
      </c>
      <c r="O70" s="25" t="n">
        <v>0.6209084405897484</v>
      </c>
      <c r="P70" s="4" t="inlineStr">
        <is>
          <t>yes</t>
        </is>
      </c>
      <c r="Q70" s="4" t="inlineStr">
        <is>
          <t>no</t>
        </is>
      </c>
      <c r="R70" s="25" t="n">
        <v>0.7692231451253109</v>
      </c>
    </row>
    <row r="71">
      <c r="A71" s="4" t="inlineStr">
        <is>
          <t>SYN-20260820-0064</t>
        </is>
      </c>
      <c r="B71" s="4" t="inlineStr">
        <is>
          <t>2026-01-18</t>
        </is>
      </c>
      <c r="C71" s="4" t="n">
        <v>38</v>
      </c>
      <c r="D71" s="4" t="inlineStr">
        <is>
          <t>male</t>
        </is>
      </c>
      <c r="E71" s="4" t="inlineStr">
        <is>
          <t>colorectal</t>
        </is>
      </c>
      <c r="F71" s="4" t="inlineStr">
        <is>
          <t>II</t>
        </is>
      </c>
      <c r="G71" s="4" t="n">
        <v>184.3</v>
      </c>
      <c r="H71" s="4" t="n">
        <v>1</v>
      </c>
      <c r="I71" s="4" t="inlineStr">
        <is>
          <t>yes</t>
        </is>
      </c>
      <c r="J71" s="4" t="inlineStr">
        <is>
          <t>unknown</t>
        </is>
      </c>
      <c r="K71" s="4" t="n">
        <v>24.94576272084633</v>
      </c>
      <c r="L71" s="4" t="n">
        <v>0.8820157686638805</v>
      </c>
      <c r="M71" s="4" t="inlineStr">
        <is>
          <t>no</t>
        </is>
      </c>
      <c r="N71" s="4" t="inlineStr">
        <is>
          <t>yes</t>
        </is>
      </c>
      <c r="O71" s="25" t="n">
        <v>0.3463011611159351</v>
      </c>
      <c r="P71" s="4" t="inlineStr">
        <is>
          <t>unknown</t>
        </is>
      </c>
      <c r="Q71" s="4" t="inlineStr">
        <is>
          <t>unknown</t>
        </is>
      </c>
      <c r="R71" s="25" t="n">
        <v>0.4955757068006585</v>
      </c>
    </row>
    <row r="72">
      <c r="A72" s="4" t="inlineStr">
        <is>
          <t>SYN-20260820-0065</t>
        </is>
      </c>
      <c r="B72" s="4" t="inlineStr">
        <is>
          <t>2026-01-19</t>
        </is>
      </c>
      <c r="C72" s="4" t="n">
        <v>86</v>
      </c>
      <c r="D72" s="4" t="inlineStr">
        <is>
          <t>female</t>
        </is>
      </c>
      <c r="E72" s="4" t="inlineStr">
        <is>
          <t>lung</t>
        </is>
      </c>
      <c r="F72" s="4" t="inlineStr">
        <is>
          <t>II</t>
        </is>
      </c>
      <c r="G72" s="4" t="n">
        <v>168.1</v>
      </c>
      <c r="H72" s="4" t="n">
        <v>1</v>
      </c>
      <c r="I72" s="4" t="inlineStr">
        <is>
          <t>no</t>
        </is>
      </c>
      <c r="J72" s="4" t="inlineStr">
        <is>
          <t>no</t>
        </is>
      </c>
      <c r="K72" s="4" t="n">
        <v>35.98782770375838</v>
      </c>
      <c r="L72" s="4" t="n">
        <v>1.495587822195528</v>
      </c>
      <c r="M72" s="4" t="inlineStr">
        <is>
          <t>no</t>
        </is>
      </c>
      <c r="N72" s="4" t="inlineStr">
        <is>
          <t>no</t>
        </is>
      </c>
      <c r="O72" s="25" t="n">
        <v>0.3196080597316774</v>
      </c>
      <c r="P72" s="4" t="inlineStr">
        <is>
          <t>no</t>
        </is>
      </c>
      <c r="Q72" s="4" t="inlineStr">
        <is>
          <t>no</t>
        </is>
      </c>
      <c r="R72" s="25" t="n">
        <v>0.46862581800446</v>
      </c>
    </row>
    <row r="73">
      <c r="A73" s="4" t="inlineStr">
        <is>
          <t>SYN-20260820-0066</t>
        </is>
      </c>
      <c r="B73" s="4" t="inlineStr">
        <is>
          <t>2026-01-20</t>
        </is>
      </c>
      <c r="C73" s="4" t="n">
        <v>66</v>
      </c>
      <c r="D73" s="4" t="inlineStr">
        <is>
          <t>male</t>
        </is>
      </c>
      <c r="E73" s="4" t="inlineStr">
        <is>
          <t>pancreatic</t>
        </is>
      </c>
      <c r="F73" s="4" t="inlineStr">
        <is>
          <t>IV</t>
        </is>
      </c>
      <c r="G73" s="4" t="n">
        <v>182.5</v>
      </c>
      <c r="H73" s="4" t="n">
        <v>1</v>
      </c>
      <c r="I73" s="4" t="inlineStr">
        <is>
          <t>yes</t>
        </is>
      </c>
      <c r="J73" s="4" t="inlineStr">
        <is>
          <t>yes</t>
        </is>
      </c>
      <c r="K73" s="4" t="n">
        <v>38.66271345468193</v>
      </c>
      <c r="M73" s="4" t="inlineStr">
        <is>
          <t>yes</t>
        </is>
      </c>
      <c r="N73" s="4" t="inlineStr">
        <is>
          <t>no</t>
        </is>
      </c>
      <c r="O73" s="24" t="n"/>
      <c r="P73" s="4" t="inlineStr">
        <is>
          <t>yes</t>
        </is>
      </c>
      <c r="Q73" s="4" t="inlineStr">
        <is>
          <t>no</t>
        </is>
      </c>
      <c r="R73" s="24" t="n"/>
    </row>
    <row r="74">
      <c r="A74" s="4" t="inlineStr">
        <is>
          <t>SYN-20260820-0067</t>
        </is>
      </c>
      <c r="B74" s="4" t="inlineStr">
        <is>
          <t>2026-01-21</t>
        </is>
      </c>
      <c r="C74" s="4" t="n">
        <v>58</v>
      </c>
      <c r="D74" s="4" t="inlineStr">
        <is>
          <t>female</t>
        </is>
      </c>
      <c r="E74" s="4" t="inlineStr">
        <is>
          <t>lung</t>
        </is>
      </c>
      <c r="F74" s="4" t="inlineStr">
        <is>
          <t>III</t>
        </is>
      </c>
      <c r="G74" s="4" t="n">
        <v>149.6</v>
      </c>
      <c r="H74" s="4" t="n">
        <v>0</v>
      </c>
      <c r="I74" s="4" t="inlineStr">
        <is>
          <t>no</t>
        </is>
      </c>
      <c r="J74" s="4" t="inlineStr">
        <is>
          <t>no</t>
        </is>
      </c>
      <c r="K74" s="4" t="n">
        <v>17.96904043581458</v>
      </c>
      <c r="L74" s="4" t="n">
        <v>1.167362988449237</v>
      </c>
      <c r="M74" s="4" t="inlineStr">
        <is>
          <t>no</t>
        </is>
      </c>
      <c r="N74" s="4" t="inlineStr">
        <is>
          <t>no</t>
        </is>
      </c>
      <c r="O74" s="25" t="n">
        <v>0.4138085994722416</v>
      </c>
      <c r="P74" s="4" t="inlineStr">
        <is>
          <t>yes</t>
        </is>
      </c>
      <c r="Q74" s="4" t="inlineStr">
        <is>
          <t>no</t>
        </is>
      </c>
      <c r="R74" s="25" t="n">
        <v>0.5926918148692555</v>
      </c>
    </row>
    <row r="75">
      <c r="A75" s="4" t="inlineStr">
        <is>
          <t>SYN-20260820-0068</t>
        </is>
      </c>
      <c r="B75" s="4" t="inlineStr">
        <is>
          <t>2026-01-22</t>
        </is>
      </c>
      <c r="C75" s="4" t="n">
        <v>80</v>
      </c>
      <c r="D75" s="4" t="inlineStr">
        <is>
          <t>female</t>
        </is>
      </c>
      <c r="E75" s="4" t="inlineStr">
        <is>
          <t>lung</t>
        </is>
      </c>
      <c r="F75" s="4" t="inlineStr">
        <is>
          <t>unknown</t>
        </is>
      </c>
      <c r="G75" s="4" t="n">
        <v>163.2</v>
      </c>
      <c r="H75" s="4" t="n">
        <v>2</v>
      </c>
      <c r="I75" s="4" t="inlineStr">
        <is>
          <t>no</t>
        </is>
      </c>
      <c r="J75" s="4" t="inlineStr">
        <is>
          <t>unknown</t>
        </is>
      </c>
      <c r="K75" s="4" t="n">
        <v>17.55522215013456</v>
      </c>
      <c r="L75" s="4" t="n">
        <v>0.9112679339648627</v>
      </c>
      <c r="M75" s="4" t="inlineStr">
        <is>
          <t>no</t>
        </is>
      </c>
      <c r="N75" s="4" t="inlineStr">
        <is>
          <t>no</t>
        </is>
      </c>
      <c r="O75" s="25" t="n">
        <v>0.4423734178480739</v>
      </c>
      <c r="P75" s="4" t="inlineStr">
        <is>
          <t>yes</t>
        </is>
      </c>
      <c r="Q75" s="4" t="inlineStr">
        <is>
          <t>no</t>
        </is>
      </c>
      <c r="R75" s="25" t="n">
        <v>0.61932641634464</v>
      </c>
    </row>
    <row r="76">
      <c r="A76" s="4" t="inlineStr">
        <is>
          <t>SYN-20260820-0069</t>
        </is>
      </c>
      <c r="B76" s="4" t="inlineStr">
        <is>
          <t>2026-01-23</t>
        </is>
      </c>
      <c r="C76" s="4" t="n">
        <v>45</v>
      </c>
      <c r="D76" s="4" t="inlineStr">
        <is>
          <t>female</t>
        </is>
      </c>
      <c r="E76" s="4" t="inlineStr">
        <is>
          <t>colorectal</t>
        </is>
      </c>
      <c r="F76" s="4" t="inlineStr">
        <is>
          <t>III</t>
        </is>
      </c>
      <c r="G76" s="4" t="n">
        <v>163.7</v>
      </c>
      <c r="H76" s="4" t="n">
        <v>3</v>
      </c>
      <c r="I76" s="4" t="inlineStr">
        <is>
          <t>no</t>
        </is>
      </c>
      <c r="J76" s="4" t="inlineStr">
        <is>
          <t>yes</t>
        </is>
      </c>
      <c r="K76" s="4" t="n">
        <v>30.00557137574172</v>
      </c>
      <c r="L76" s="4" t="n">
        <v>1.801350707717102</v>
      </c>
      <c r="M76" s="4" t="inlineStr">
        <is>
          <t>yes</t>
        </is>
      </c>
      <c r="N76" s="4" t="inlineStr">
        <is>
          <t>no</t>
        </is>
      </c>
      <c r="O76" s="25" t="n">
        <v>0.4339324825588827</v>
      </c>
      <c r="P76" s="4" t="inlineStr">
        <is>
          <t>yes</t>
        </is>
      </c>
      <c r="Q76" s="4" t="inlineStr">
        <is>
          <t>no</t>
        </is>
      </c>
      <c r="R76" s="25" t="n">
        <v>0.6035317307221091</v>
      </c>
    </row>
    <row r="77">
      <c r="A77" s="4" t="inlineStr">
        <is>
          <t>SYN-20260820-0070</t>
        </is>
      </c>
      <c r="B77" s="4" t="inlineStr">
        <is>
          <t>2026-01-24</t>
        </is>
      </c>
      <c r="C77" s="4" t="n">
        <v>60</v>
      </c>
      <c r="D77" s="4" t="inlineStr">
        <is>
          <t>male</t>
        </is>
      </c>
      <c r="E77" s="4" t="inlineStr">
        <is>
          <t>lung</t>
        </is>
      </c>
      <c r="F77" s="4" t="inlineStr">
        <is>
          <t>III</t>
        </is>
      </c>
      <c r="G77" s="4" t="n">
        <v>163.4</v>
      </c>
      <c r="H77" s="4" t="n">
        <v>1</v>
      </c>
      <c r="I77" s="4" t="inlineStr">
        <is>
          <t>unknown</t>
        </is>
      </c>
      <c r="J77" s="4" t="inlineStr">
        <is>
          <t>no</t>
        </is>
      </c>
      <c r="K77" s="4" t="n">
        <v>25.75622969067655</v>
      </c>
      <c r="L77" s="4" t="n">
        <v>1.470040404619303</v>
      </c>
      <c r="M77" s="4" t="inlineStr">
        <is>
          <t>no</t>
        </is>
      </c>
      <c r="N77" s="4" t="inlineStr">
        <is>
          <t>no</t>
        </is>
      </c>
      <c r="O77" s="25" t="n">
        <v>0.4233845413901532</v>
      </c>
      <c r="P77" s="4" t="inlineStr">
        <is>
          <t>no</t>
        </is>
      </c>
      <c r="Q77" s="4" t="inlineStr">
        <is>
          <t>no</t>
        </is>
      </c>
      <c r="R77" s="25" t="n">
        <v>0.5794475780642717</v>
      </c>
    </row>
    <row r="78">
      <c r="A78" s="4" t="inlineStr">
        <is>
          <t>SYN-20260820-0071</t>
        </is>
      </c>
      <c r="B78" s="4" t="inlineStr">
        <is>
          <t>2026-01-25</t>
        </is>
      </c>
      <c r="C78" s="4" t="n">
        <v>72</v>
      </c>
      <c r="D78" s="4" t="inlineStr">
        <is>
          <t>female</t>
        </is>
      </c>
      <c r="E78" s="4" t="inlineStr">
        <is>
          <t>breast</t>
        </is>
      </c>
      <c r="F78" s="4" t="inlineStr">
        <is>
          <t>IV</t>
        </is>
      </c>
      <c r="G78" s="4" t="n">
        <v>160.9</v>
      </c>
      <c r="H78" s="4" t="n">
        <v>1</v>
      </c>
      <c r="I78" s="4" t="inlineStr">
        <is>
          <t>yes</t>
        </is>
      </c>
      <c r="J78" s="4" t="inlineStr">
        <is>
          <t>unknown</t>
        </is>
      </c>
      <c r="K78" s="4" t="n">
        <v>44.03369641169294</v>
      </c>
      <c r="M78" s="4" t="inlineStr">
        <is>
          <t>unknown</t>
        </is>
      </c>
      <c r="N78" s="4" t="inlineStr">
        <is>
          <t>unknown</t>
        </is>
      </c>
      <c r="O78" s="24" t="n"/>
      <c r="P78" s="4" t="inlineStr">
        <is>
          <t>unknown</t>
        </is>
      </c>
      <c r="Q78" s="4" t="inlineStr">
        <is>
          <t>unknown</t>
        </is>
      </c>
      <c r="R78" s="24" t="n"/>
    </row>
    <row r="79">
      <c r="A79" s="4" t="inlineStr">
        <is>
          <t>SYN-20260820-0072</t>
        </is>
      </c>
      <c r="B79" s="4" t="inlineStr">
        <is>
          <t>2026-01-26</t>
        </is>
      </c>
      <c r="C79" s="4" t="n">
        <v>77</v>
      </c>
      <c r="D79" s="4" t="inlineStr">
        <is>
          <t>male</t>
        </is>
      </c>
      <c r="E79" s="4" t="inlineStr">
        <is>
          <t>pancreatic</t>
        </is>
      </c>
      <c r="F79" s="4" t="inlineStr">
        <is>
          <t>IV</t>
        </is>
      </c>
      <c r="G79" s="4" t="n">
        <v>176.5</v>
      </c>
      <c r="H79" s="4" t="n">
        <v>1</v>
      </c>
      <c r="I79" s="4" t="inlineStr">
        <is>
          <t>yes</t>
        </is>
      </c>
      <c r="J79" s="4" t="inlineStr">
        <is>
          <t>unknown</t>
        </is>
      </c>
      <c r="K79" s="4" t="n">
        <v>23.83359147413108</v>
      </c>
      <c r="M79" s="4" t="inlineStr">
        <is>
          <t>unknown</t>
        </is>
      </c>
      <c r="N79" s="4" t="inlineStr">
        <is>
          <t>unknown</t>
        </is>
      </c>
      <c r="O79" s="24" t="n"/>
      <c r="P79" s="4" t="inlineStr">
        <is>
          <t>yes</t>
        </is>
      </c>
      <c r="Q79" s="4" t="inlineStr">
        <is>
          <t>no</t>
        </is>
      </c>
      <c r="R79" s="24" t="n"/>
    </row>
    <row r="80">
      <c r="A80" s="4" t="inlineStr">
        <is>
          <t>SYN-20260820-0073</t>
        </is>
      </c>
      <c r="B80" s="4" t="inlineStr">
        <is>
          <t>2026-01-27</t>
        </is>
      </c>
      <c r="C80" s="4" t="n">
        <v>70</v>
      </c>
      <c r="D80" s="4" t="inlineStr">
        <is>
          <t>male</t>
        </is>
      </c>
      <c r="E80" s="4" t="inlineStr">
        <is>
          <t>gastric</t>
        </is>
      </c>
      <c r="F80" s="4" t="inlineStr">
        <is>
          <t>IV</t>
        </is>
      </c>
      <c r="G80" s="4" t="n">
        <v>168</v>
      </c>
      <c r="H80" s="4" t="n">
        <v>1</v>
      </c>
      <c r="I80" s="4" t="inlineStr">
        <is>
          <t>yes</t>
        </is>
      </c>
      <c r="J80" s="4" t="inlineStr">
        <is>
          <t>no</t>
        </is>
      </c>
      <c r="K80" s="4" t="n">
        <v>35.14845521541951</v>
      </c>
      <c r="L80" s="4" t="n">
        <v>2.619954452646455</v>
      </c>
      <c r="M80" s="4" t="inlineStr">
        <is>
          <t>no</t>
        </is>
      </c>
      <c r="N80" s="4" t="inlineStr">
        <is>
          <t>yes</t>
        </is>
      </c>
      <c r="O80" s="25" t="n">
        <v>0.7577886958966721</v>
      </c>
      <c r="P80" s="4" t="inlineStr">
        <is>
          <t>yes</t>
        </is>
      </c>
      <c r="Q80" s="4" t="inlineStr">
        <is>
          <t>no</t>
        </is>
      </c>
      <c r="R80" s="25" t="n">
        <v>0.8633023196946066</v>
      </c>
    </row>
    <row r="81">
      <c r="A81" s="4" t="inlineStr">
        <is>
          <t>SYN-20260820-0074</t>
        </is>
      </c>
      <c r="B81" s="4" t="inlineStr">
        <is>
          <t>2026-01-28</t>
        </is>
      </c>
      <c r="C81" s="4" t="n">
        <v>76</v>
      </c>
      <c r="D81" s="4" t="inlineStr">
        <is>
          <t>male</t>
        </is>
      </c>
      <c r="E81" s="4" t="inlineStr">
        <is>
          <t>colorectal</t>
        </is>
      </c>
      <c r="F81" s="4" t="inlineStr">
        <is>
          <t>IV</t>
        </is>
      </c>
      <c r="G81" s="4" t="n">
        <v>174</v>
      </c>
      <c r="H81" s="4" t="inlineStr">
        <is>
          <t>unknown</t>
        </is>
      </c>
      <c r="I81" s="4" t="inlineStr">
        <is>
          <t>unknown</t>
        </is>
      </c>
      <c r="J81" s="4" t="inlineStr">
        <is>
          <t>no</t>
        </is>
      </c>
      <c r="K81" s="4" t="n">
        <v>31.92066323160259</v>
      </c>
      <c r="L81" s="4" t="n">
        <v>2.423189927607206</v>
      </c>
      <c r="M81" s="4" t="inlineStr">
        <is>
          <t>no</t>
        </is>
      </c>
      <c r="N81" s="4" t="inlineStr">
        <is>
          <t>no</t>
        </is>
      </c>
      <c r="O81" s="25" t="n">
        <v>0.5037536021295351</v>
      </c>
      <c r="P81" s="4" t="inlineStr">
        <is>
          <t>no</t>
        </is>
      </c>
      <c r="Q81" s="4" t="inlineStr">
        <is>
          <t>unknown</t>
        </is>
      </c>
      <c r="R81" s="25" t="n">
        <v>0.6600413493571555</v>
      </c>
    </row>
    <row r="82">
      <c r="A82" s="4" t="inlineStr">
        <is>
          <t>SYN-20260820-0075</t>
        </is>
      </c>
      <c r="B82" s="4" t="inlineStr">
        <is>
          <t>2026-01-29</t>
        </is>
      </c>
      <c r="C82" s="4" t="n">
        <v>62</v>
      </c>
      <c r="D82" s="4" t="inlineStr">
        <is>
          <t>male</t>
        </is>
      </c>
      <c r="E82" s="4" t="inlineStr">
        <is>
          <t>pancreatic</t>
        </is>
      </c>
      <c r="F82" s="4" t="inlineStr">
        <is>
          <t>III</t>
        </is>
      </c>
      <c r="G82" s="4" t="n">
        <v>178.4</v>
      </c>
      <c r="H82" s="4" t="n">
        <v>1</v>
      </c>
      <c r="I82" s="4" t="inlineStr">
        <is>
          <t>no</t>
        </is>
      </c>
      <c r="J82" s="4" t="inlineStr">
        <is>
          <t>unknown</t>
        </is>
      </c>
      <c r="K82" s="4" t="n">
        <v>19.46895925918478</v>
      </c>
      <c r="L82" s="4" t="n">
        <v>1.549143601639711</v>
      </c>
      <c r="M82" s="4" t="inlineStr">
        <is>
          <t>yes</t>
        </is>
      </c>
      <c r="N82" s="4" t="inlineStr">
        <is>
          <t>no</t>
        </is>
      </c>
      <c r="O82" s="25" t="n">
        <v>0.5990212568017613</v>
      </c>
      <c r="P82" s="4" t="inlineStr">
        <is>
          <t>yes</t>
        </is>
      </c>
      <c r="Q82" s="4" t="inlineStr">
        <is>
          <t>no</t>
        </is>
      </c>
      <c r="R82" s="25" t="n">
        <v>0.7469425129049249</v>
      </c>
    </row>
    <row r="83">
      <c r="A83" s="4" t="inlineStr">
        <is>
          <t>SYN-20260820-0076</t>
        </is>
      </c>
      <c r="B83" s="4" t="inlineStr">
        <is>
          <t>2026-01-30</t>
        </is>
      </c>
      <c r="C83" s="4" t="n">
        <v>45</v>
      </c>
      <c r="D83" s="4" t="inlineStr">
        <is>
          <t>female</t>
        </is>
      </c>
      <c r="E83" s="4" t="inlineStr">
        <is>
          <t>lung</t>
        </is>
      </c>
      <c r="F83" s="4" t="inlineStr">
        <is>
          <t>II</t>
        </is>
      </c>
      <c r="G83" s="4" t="n">
        <v>160.3</v>
      </c>
      <c r="H83" s="4" t="n">
        <v>0</v>
      </c>
      <c r="I83" s="4" t="inlineStr">
        <is>
          <t>no</t>
        </is>
      </c>
      <c r="J83" s="4" t="inlineStr">
        <is>
          <t>unknown</t>
        </is>
      </c>
      <c r="K83" s="4" t="n">
        <v>26.51609641778184</v>
      </c>
      <c r="L83" s="4" t="n">
        <v>1.476350911693684</v>
      </c>
      <c r="M83" s="4" t="inlineStr">
        <is>
          <t>no</t>
        </is>
      </c>
      <c r="N83" s="4" t="inlineStr">
        <is>
          <t>no</t>
        </is>
      </c>
      <c r="O83" s="25" t="n">
        <v>0.2128092481762207</v>
      </c>
      <c r="P83" s="4" t="inlineStr">
        <is>
          <t>unknown</t>
        </is>
      </c>
      <c r="Q83" s="4" t="inlineStr">
        <is>
          <t>unknown</t>
        </is>
      </c>
      <c r="R83" s="25" t="n">
        <v>0.3365855931447483</v>
      </c>
    </row>
    <row r="84">
      <c r="A84" s="4" t="inlineStr">
        <is>
          <t>SYN-20260820-0077</t>
        </is>
      </c>
      <c r="B84" s="4" t="inlineStr">
        <is>
          <t>2026-01-31</t>
        </is>
      </c>
      <c r="C84" s="4" t="n">
        <v>66</v>
      </c>
      <c r="D84" s="4" t="inlineStr">
        <is>
          <t>male</t>
        </is>
      </c>
      <c r="E84" s="4" t="inlineStr">
        <is>
          <t>breast</t>
        </is>
      </c>
      <c r="F84" s="4" t="inlineStr">
        <is>
          <t>III</t>
        </is>
      </c>
      <c r="G84" s="4" t="n">
        <v>177.8</v>
      </c>
      <c r="H84" s="4" t="n">
        <v>1</v>
      </c>
      <c r="I84" s="4" t="inlineStr">
        <is>
          <t>no</t>
        </is>
      </c>
      <c r="J84" s="4" t="inlineStr">
        <is>
          <t>unknown</t>
        </is>
      </c>
      <c r="K84" s="4" t="n">
        <v>34.54166092005653</v>
      </c>
      <c r="L84" s="4" t="n">
        <v>0.7868292417001324</v>
      </c>
      <c r="M84" s="4" t="inlineStr">
        <is>
          <t>no</t>
        </is>
      </c>
      <c r="N84" s="4" t="inlineStr">
        <is>
          <t>no</t>
        </is>
      </c>
      <c r="O84" s="25" t="n">
        <v>0.2409072073857761</v>
      </c>
      <c r="P84" s="4" t="inlineStr">
        <is>
          <t>unknown</t>
        </is>
      </c>
      <c r="Q84" s="4" t="inlineStr">
        <is>
          <t>unknown</t>
        </is>
      </c>
      <c r="R84" s="25" t="n">
        <v>0.3700562254832764</v>
      </c>
    </row>
    <row r="85">
      <c r="A85" s="4" t="inlineStr">
        <is>
          <t>SYN-20260820-0078</t>
        </is>
      </c>
      <c r="B85" s="4" t="inlineStr">
        <is>
          <t>2026-02-01</t>
        </is>
      </c>
      <c r="C85" s="4" t="n">
        <v>52</v>
      </c>
      <c r="D85" s="4" t="inlineStr">
        <is>
          <t>male</t>
        </is>
      </c>
      <c r="E85" s="4" t="inlineStr">
        <is>
          <t>gastric</t>
        </is>
      </c>
      <c r="F85" s="4" t="inlineStr">
        <is>
          <t>I</t>
        </is>
      </c>
      <c r="G85" s="4" t="n">
        <v>184.3</v>
      </c>
      <c r="H85" s="4" t="n">
        <v>2</v>
      </c>
      <c r="I85" s="4" t="inlineStr">
        <is>
          <t>yes</t>
        </is>
      </c>
      <c r="J85" s="4" t="inlineStr">
        <is>
          <t>no</t>
        </is>
      </c>
      <c r="K85" s="4" t="n">
        <v>23.70365616229407</v>
      </c>
      <c r="M85" s="4" t="inlineStr">
        <is>
          <t>no</t>
        </is>
      </c>
      <c r="N85" s="4" t="inlineStr">
        <is>
          <t>yes</t>
        </is>
      </c>
      <c r="O85" s="24" t="n"/>
      <c r="P85" s="4" t="inlineStr">
        <is>
          <t>yes</t>
        </is>
      </c>
      <c r="Q85" s="4" t="inlineStr">
        <is>
          <t>no</t>
        </is>
      </c>
      <c r="R85" s="24" t="n"/>
    </row>
    <row r="86">
      <c r="A86" s="4" t="inlineStr">
        <is>
          <t>SYN-20260820-0079</t>
        </is>
      </c>
      <c r="B86" s="4" t="inlineStr">
        <is>
          <t>2026-02-02</t>
        </is>
      </c>
      <c r="C86" s="4" t="n">
        <v>45</v>
      </c>
      <c r="D86" s="4" t="inlineStr">
        <is>
          <t>female</t>
        </is>
      </c>
      <c r="E86" s="4" t="inlineStr">
        <is>
          <t>other solid tumour</t>
        </is>
      </c>
      <c r="F86" s="4" t="inlineStr">
        <is>
          <t>I</t>
        </is>
      </c>
      <c r="G86" s="4" t="n">
        <v>164.8</v>
      </c>
      <c r="H86" s="4" t="n">
        <v>2</v>
      </c>
      <c r="I86" s="4" t="inlineStr">
        <is>
          <t>unknown</t>
        </is>
      </c>
      <c r="J86" s="4" t="inlineStr">
        <is>
          <t>unknown</t>
        </is>
      </c>
      <c r="K86" s="4" t="n">
        <v>37.34189426430389</v>
      </c>
      <c r="L86" s="4" t="n">
        <v>0.9154502999394236</v>
      </c>
      <c r="M86" s="4" t="inlineStr">
        <is>
          <t>no</t>
        </is>
      </c>
      <c r="N86" s="4" t="inlineStr">
        <is>
          <t>no</t>
        </is>
      </c>
      <c r="O86" s="25" t="n">
        <v>0.2008498139700521</v>
      </c>
      <c r="P86" s="4" t="inlineStr">
        <is>
          <t>no</t>
        </is>
      </c>
      <c r="Q86" s="4" t="inlineStr">
        <is>
          <t>unknown</t>
        </is>
      </c>
      <c r="R86" s="25" t="n">
        <v>0.318064159723918</v>
      </c>
    </row>
    <row r="87">
      <c r="A87" s="4" t="inlineStr">
        <is>
          <t>SYN-20260820-0080</t>
        </is>
      </c>
      <c r="B87" s="4" t="inlineStr">
        <is>
          <t>2026-02-03</t>
        </is>
      </c>
      <c r="C87" s="4" t="n">
        <v>31</v>
      </c>
      <c r="D87" s="4" t="inlineStr">
        <is>
          <t>male</t>
        </is>
      </c>
      <c r="E87" s="4" t="inlineStr">
        <is>
          <t>head and neck</t>
        </is>
      </c>
      <c r="F87" s="4" t="inlineStr">
        <is>
          <t>II</t>
        </is>
      </c>
      <c r="G87" s="4" t="n">
        <v>180.4</v>
      </c>
      <c r="H87" s="4" t="n">
        <v>1</v>
      </c>
      <c r="I87" s="4" t="inlineStr">
        <is>
          <t>no</t>
        </is>
      </c>
      <c r="J87" s="4" t="inlineStr">
        <is>
          <t>no</t>
        </is>
      </c>
      <c r="K87" s="4" t="n">
        <v>29.86372977517318</v>
      </c>
      <c r="L87" s="4" t="n">
        <v>1.108081157532726</v>
      </c>
      <c r="M87" s="4" t="inlineStr">
        <is>
          <t>no</t>
        </is>
      </c>
      <c r="N87" s="4" t="inlineStr">
        <is>
          <t>no</t>
        </is>
      </c>
      <c r="O87" s="25" t="n">
        <v>0.2580842807745954</v>
      </c>
      <c r="P87" s="4" t="inlineStr">
        <is>
          <t>yes</t>
        </is>
      </c>
      <c r="Q87" s="4" t="inlineStr">
        <is>
          <t>no</t>
        </is>
      </c>
      <c r="R87" s="25" t="n">
        <v>0.381358085010318</v>
      </c>
    </row>
    <row r="88">
      <c r="A88" s="4" t="inlineStr">
        <is>
          <t>SYN-20260820-0081</t>
        </is>
      </c>
      <c r="B88" s="4" t="inlineStr">
        <is>
          <t>2026-02-04</t>
        </is>
      </c>
      <c r="C88" s="4" t="n">
        <v>43</v>
      </c>
      <c r="D88" s="4" t="inlineStr">
        <is>
          <t>female</t>
        </is>
      </c>
      <c r="E88" s="4" t="inlineStr">
        <is>
          <t>prostate</t>
        </is>
      </c>
      <c r="F88" s="4" t="inlineStr">
        <is>
          <t>I</t>
        </is>
      </c>
      <c r="G88" s="4" t="n">
        <v>165.6</v>
      </c>
      <c r="H88" s="4" t="n">
        <v>1</v>
      </c>
      <c r="I88" s="4" t="inlineStr">
        <is>
          <t>no</t>
        </is>
      </c>
      <c r="J88" s="4" t="inlineStr">
        <is>
          <t>no</t>
        </is>
      </c>
      <c r="K88" s="4" t="n">
        <v>17.15362377184998</v>
      </c>
      <c r="L88" s="4" t="n">
        <v>0.02125353339993861</v>
      </c>
      <c r="M88" s="4" t="inlineStr">
        <is>
          <t>no</t>
        </is>
      </c>
      <c r="N88" s="4" t="inlineStr">
        <is>
          <t>no</t>
        </is>
      </c>
      <c r="O88" s="25" t="n">
        <v>0.1754856836400452</v>
      </c>
      <c r="P88" s="4" t="inlineStr">
        <is>
          <t>no</t>
        </is>
      </c>
      <c r="Q88" s="4" t="inlineStr">
        <is>
          <t>no</t>
        </is>
      </c>
      <c r="R88" s="25" t="n">
        <v>0.2795264122928183</v>
      </c>
    </row>
    <row r="89">
      <c r="A89" s="4" t="inlineStr">
        <is>
          <t>SYN-20260820-0082</t>
        </is>
      </c>
      <c r="B89" s="4" t="inlineStr">
        <is>
          <t>2026-02-05</t>
        </is>
      </c>
      <c r="C89" s="4" t="n">
        <v>88</v>
      </c>
      <c r="D89" s="4" t="inlineStr">
        <is>
          <t>female</t>
        </is>
      </c>
      <c r="E89" s="4" t="inlineStr">
        <is>
          <t>breast</t>
        </is>
      </c>
      <c r="F89" s="4" t="inlineStr">
        <is>
          <t>IV</t>
        </is>
      </c>
      <c r="G89" s="4" t="n">
        <v>159.3</v>
      </c>
      <c r="H89" s="4" t="n">
        <v>0</v>
      </c>
      <c r="I89" s="4" t="inlineStr">
        <is>
          <t>yes</t>
        </is>
      </c>
      <c r="J89" s="4" t="inlineStr">
        <is>
          <t>unknown</t>
        </is>
      </c>
      <c r="K89" s="4" t="n">
        <v>19.60791267823091</v>
      </c>
      <c r="L89" s="4" t="n">
        <v>1.369700093163384</v>
      </c>
      <c r="M89" s="4" t="inlineStr">
        <is>
          <t>no</t>
        </is>
      </c>
      <c r="N89" s="4" t="inlineStr">
        <is>
          <t>no</t>
        </is>
      </c>
      <c r="O89" s="25" t="n">
        <v>0.5812875165633712</v>
      </c>
      <c r="P89" s="4" t="inlineStr">
        <is>
          <t>no</t>
        </is>
      </c>
      <c r="Q89" s="4" t="inlineStr">
        <is>
          <t>yes</t>
        </is>
      </c>
      <c r="R89" s="25" t="n">
        <v>0.7512808149311466</v>
      </c>
    </row>
    <row r="90">
      <c r="A90" s="4" t="inlineStr">
        <is>
          <t>SYN-20260820-0083</t>
        </is>
      </c>
      <c r="B90" s="4" t="inlineStr">
        <is>
          <t>2026-02-06</t>
        </is>
      </c>
      <c r="C90" s="4" t="n">
        <v>41</v>
      </c>
      <c r="D90" s="4" t="inlineStr">
        <is>
          <t>female</t>
        </is>
      </c>
      <c r="E90" s="4" t="inlineStr">
        <is>
          <t>oesophageal</t>
        </is>
      </c>
      <c r="F90" s="4" t="inlineStr">
        <is>
          <t>III</t>
        </is>
      </c>
      <c r="G90" s="4" t="n">
        <v>155.9</v>
      </c>
      <c r="H90" s="4" t="n">
        <v>2</v>
      </c>
      <c r="I90" s="4" t="inlineStr">
        <is>
          <t>no</t>
        </is>
      </c>
      <c r="J90" s="4" t="inlineStr">
        <is>
          <t>yes</t>
        </is>
      </c>
      <c r="K90" s="4" t="n">
        <v>39.37163055378749</v>
      </c>
      <c r="L90" s="4" t="n">
        <v>1.981029643742458</v>
      </c>
      <c r="M90" s="4" t="inlineStr">
        <is>
          <t>yes</t>
        </is>
      </c>
      <c r="N90" s="4" t="inlineStr">
        <is>
          <t>no</t>
        </is>
      </c>
      <c r="O90" s="25" t="n">
        <v>0.4768999198611447</v>
      </c>
      <c r="P90" s="4" t="inlineStr">
        <is>
          <t>yes</t>
        </is>
      </c>
      <c r="Q90" s="4" t="inlineStr">
        <is>
          <t>no</t>
        </is>
      </c>
      <c r="R90" s="25" t="n">
        <v>0.633475149225458</v>
      </c>
    </row>
    <row r="91">
      <c r="A91" s="4" t="inlineStr">
        <is>
          <t>SYN-20260820-0084</t>
        </is>
      </c>
      <c r="B91" s="4" t="inlineStr">
        <is>
          <t>2026-02-07</t>
        </is>
      </c>
      <c r="C91" s="4" t="n">
        <v>62</v>
      </c>
      <c r="D91" s="4" t="inlineStr">
        <is>
          <t>male</t>
        </is>
      </c>
      <c r="E91" s="4" t="inlineStr">
        <is>
          <t>pancreatic</t>
        </is>
      </c>
      <c r="F91" s="4" t="inlineStr">
        <is>
          <t>IV</t>
        </is>
      </c>
      <c r="G91" s="4" t="n">
        <v>178.2</v>
      </c>
      <c r="H91" s="4" t="n">
        <v>4</v>
      </c>
      <c r="I91" s="4" t="inlineStr">
        <is>
          <t>yes</t>
        </is>
      </c>
      <c r="J91" s="4" t="inlineStr">
        <is>
          <t>no</t>
        </is>
      </c>
      <c r="K91" s="4" t="n">
        <v>27.67070883419556</v>
      </c>
      <c r="L91" s="4" t="n">
        <v>3.959909063087488</v>
      </c>
      <c r="M91" s="4" t="inlineStr">
        <is>
          <t>no</t>
        </is>
      </c>
      <c r="N91" s="4" t="inlineStr">
        <is>
          <t>yes</t>
        </is>
      </c>
      <c r="O91" s="25" t="n">
        <v>0.9251720455882032</v>
      </c>
      <c r="P91" s="4" t="inlineStr">
        <is>
          <t>yes</t>
        </is>
      </c>
      <c r="Q91" s="4" t="inlineStr">
        <is>
          <t>no</t>
        </is>
      </c>
      <c r="R91" s="25" t="n">
        <v>0.9659073585407559</v>
      </c>
    </row>
    <row r="92">
      <c r="A92" s="4" t="inlineStr">
        <is>
          <t>SYN-20260820-0085</t>
        </is>
      </c>
      <c r="B92" s="4" t="inlineStr">
        <is>
          <t>2026-02-08</t>
        </is>
      </c>
      <c r="C92" s="4" t="n">
        <v>72</v>
      </c>
      <c r="D92" s="4" t="inlineStr">
        <is>
          <t>female</t>
        </is>
      </c>
      <c r="E92" s="4" t="inlineStr">
        <is>
          <t>lung</t>
        </is>
      </c>
      <c r="F92" s="4" t="inlineStr">
        <is>
          <t>III</t>
        </is>
      </c>
      <c r="G92" s="4" t="n">
        <v>162</v>
      </c>
      <c r="H92" s="4" t="n">
        <v>2</v>
      </c>
      <c r="I92" s="4" t="inlineStr">
        <is>
          <t>yes</t>
        </is>
      </c>
      <c r="J92" s="4" t="inlineStr">
        <is>
          <t>no</t>
        </is>
      </c>
      <c r="K92" s="4" t="n">
        <v>26.94292028654168</v>
      </c>
      <c r="L92" s="4" t="n">
        <v>2.328890116720758</v>
      </c>
      <c r="M92" s="4" t="inlineStr">
        <is>
          <t>no</t>
        </is>
      </c>
      <c r="N92" s="4" t="inlineStr">
        <is>
          <t>yes</t>
        </is>
      </c>
      <c r="O92" s="25" t="n">
        <v>0.6797788589979851</v>
      </c>
      <c r="P92" s="4" t="inlineStr">
        <is>
          <t>no</t>
        </is>
      </c>
      <c r="Q92" s="4" t="inlineStr">
        <is>
          <t>yes</t>
        </is>
      </c>
      <c r="R92" s="25" t="n">
        <v>0.8174750516543102</v>
      </c>
    </row>
    <row r="93">
      <c r="A93" s="4" t="inlineStr">
        <is>
          <t>SYN-20260820-0086</t>
        </is>
      </c>
      <c r="B93" s="4" t="inlineStr">
        <is>
          <t>2026-02-09</t>
        </is>
      </c>
      <c r="C93" s="4" t="n">
        <v>74</v>
      </c>
      <c r="D93" s="4" t="inlineStr">
        <is>
          <t>female</t>
        </is>
      </c>
      <c r="E93" s="4" t="inlineStr">
        <is>
          <t>colorectal</t>
        </is>
      </c>
      <c r="F93" s="4" t="inlineStr">
        <is>
          <t>III</t>
        </is>
      </c>
      <c r="G93" s="4" t="n">
        <v>157.2</v>
      </c>
      <c r="H93" s="4" t="n">
        <v>1</v>
      </c>
      <c r="I93" s="4" t="inlineStr">
        <is>
          <t>no</t>
        </is>
      </c>
      <c r="J93" s="4" t="inlineStr">
        <is>
          <t>no</t>
        </is>
      </c>
      <c r="K93" s="4" t="n">
        <v>25.12803579175003</v>
      </c>
      <c r="L93" s="4" t="n">
        <v>0.4744197974099347</v>
      </c>
      <c r="M93" s="4" t="inlineStr">
        <is>
          <t>no</t>
        </is>
      </c>
      <c r="N93" s="4" t="inlineStr">
        <is>
          <t>no</t>
        </is>
      </c>
      <c r="O93" s="25" t="n">
        <v>0.291455521497109</v>
      </c>
      <c r="P93" s="4" t="inlineStr">
        <is>
          <t>no</t>
        </is>
      </c>
      <c r="Q93" s="4" t="inlineStr">
        <is>
          <t>no</t>
        </is>
      </c>
      <c r="R93" s="25" t="n">
        <v>0.430738916585034</v>
      </c>
    </row>
    <row r="94">
      <c r="A94" s="4" t="inlineStr">
        <is>
          <t>SYN-20260820-0087</t>
        </is>
      </c>
      <c r="B94" s="4" t="inlineStr">
        <is>
          <t>2026-02-10</t>
        </is>
      </c>
      <c r="C94" s="4" t="n">
        <v>72</v>
      </c>
      <c r="D94" s="4" t="inlineStr">
        <is>
          <t>female</t>
        </is>
      </c>
      <c r="E94" s="4" t="inlineStr">
        <is>
          <t>pancreatic</t>
        </is>
      </c>
      <c r="F94" s="4" t="inlineStr">
        <is>
          <t>III</t>
        </is>
      </c>
      <c r="G94" s="4" t="n">
        <v>158.2</v>
      </c>
      <c r="H94" s="4" t="n">
        <v>2</v>
      </c>
      <c r="I94" s="4" t="inlineStr">
        <is>
          <t>no</t>
        </is>
      </c>
      <c r="J94" s="4" t="inlineStr">
        <is>
          <t>unknown</t>
        </is>
      </c>
      <c r="K94" s="4" t="n">
        <v>23.98027109661313</v>
      </c>
      <c r="L94" s="4" t="n">
        <v>3.35276498437953</v>
      </c>
      <c r="M94" s="4" t="inlineStr">
        <is>
          <t>yes</t>
        </is>
      </c>
      <c r="N94" s="4" t="inlineStr">
        <is>
          <t>no</t>
        </is>
      </c>
      <c r="O94" s="25" t="n">
        <v>0.6308486952055202</v>
      </c>
      <c r="P94" s="4" t="inlineStr">
        <is>
          <t>yes</t>
        </is>
      </c>
      <c r="Q94" s="4" t="inlineStr">
        <is>
          <t>no</t>
        </is>
      </c>
      <c r="R94" s="25" t="n">
        <v>0.7778040101070811</v>
      </c>
    </row>
    <row r="95">
      <c r="A95" s="4" t="inlineStr">
        <is>
          <t>SYN-20260820-0088</t>
        </is>
      </c>
      <c r="B95" s="4" t="inlineStr">
        <is>
          <t>2026-02-11</t>
        </is>
      </c>
      <c r="C95" s="4" t="n">
        <v>67</v>
      </c>
      <c r="D95" s="4" t="inlineStr">
        <is>
          <t>male</t>
        </is>
      </c>
      <c r="E95" s="4" t="inlineStr">
        <is>
          <t>lung</t>
        </is>
      </c>
      <c r="F95" s="4" t="inlineStr">
        <is>
          <t>II</t>
        </is>
      </c>
      <c r="G95" s="4" t="n">
        <v>182.4</v>
      </c>
      <c r="H95" s="4" t="n">
        <v>2</v>
      </c>
      <c r="I95" s="4" t="inlineStr">
        <is>
          <t>yes</t>
        </is>
      </c>
      <c r="J95" s="4" t="inlineStr">
        <is>
          <t>no</t>
        </is>
      </c>
      <c r="K95" s="4" t="n">
        <v>37.79798832333025</v>
      </c>
      <c r="L95" s="4" t="n">
        <v>2.267799271009002</v>
      </c>
      <c r="M95" s="4" t="inlineStr">
        <is>
          <t>no</t>
        </is>
      </c>
      <c r="N95" s="4" t="inlineStr">
        <is>
          <t>yes</t>
        </is>
      </c>
      <c r="O95" s="25" t="n">
        <v>0.6094054883107524</v>
      </c>
      <c r="P95" s="4" t="inlineStr">
        <is>
          <t>yes</t>
        </is>
      </c>
      <c r="Q95" s="4" t="inlineStr">
        <is>
          <t>no</t>
        </is>
      </c>
      <c r="R95" s="25" t="n">
        <v>0.7667714476594617</v>
      </c>
    </row>
    <row r="96">
      <c r="A96" s="4" t="inlineStr">
        <is>
          <t>SYN-20260820-0089</t>
        </is>
      </c>
      <c r="B96" s="4" t="inlineStr">
        <is>
          <t>2026-02-12</t>
        </is>
      </c>
      <c r="C96" s="4" t="n">
        <v>73</v>
      </c>
      <c r="D96" s="4" t="inlineStr">
        <is>
          <t>male</t>
        </is>
      </c>
      <c r="E96" s="4" t="inlineStr">
        <is>
          <t>colorectal</t>
        </is>
      </c>
      <c r="F96" s="4" t="inlineStr">
        <is>
          <t>IV</t>
        </is>
      </c>
      <c r="G96" s="4" t="n">
        <v>172.3</v>
      </c>
      <c r="H96" s="4" t="n">
        <v>2</v>
      </c>
      <c r="I96" s="4" t="inlineStr">
        <is>
          <t>yes</t>
        </is>
      </c>
      <c r="J96" s="4" t="inlineStr">
        <is>
          <t>unknown</t>
        </is>
      </c>
      <c r="K96" s="4" t="n">
        <v>30.08796020115005</v>
      </c>
      <c r="L96" s="4" t="n">
        <v>3.35100627569791</v>
      </c>
      <c r="M96" s="4" t="inlineStr">
        <is>
          <t>unknown</t>
        </is>
      </c>
      <c r="N96" s="4" t="inlineStr">
        <is>
          <t>unknown</t>
        </is>
      </c>
      <c r="O96" s="25" t="n">
        <v>0.7475580832180558</v>
      </c>
      <c r="P96" s="4" t="inlineStr">
        <is>
          <t>yes</t>
        </is>
      </c>
      <c r="Q96" s="4" t="inlineStr">
        <is>
          <t>no</t>
        </is>
      </c>
      <c r="R96" s="25" t="n">
        <v>0.8644380535305146</v>
      </c>
    </row>
    <row r="97">
      <c r="A97" s="4" t="inlineStr">
        <is>
          <t>SYN-20260820-0090</t>
        </is>
      </c>
      <c r="B97" s="4" t="inlineStr">
        <is>
          <t>2026-02-13</t>
        </is>
      </c>
      <c r="C97" s="4" t="n">
        <v>27</v>
      </c>
      <c r="D97" s="4" t="inlineStr">
        <is>
          <t>female</t>
        </is>
      </c>
      <c r="E97" s="4" t="inlineStr">
        <is>
          <t>colorectal</t>
        </is>
      </c>
      <c r="F97" s="4" t="inlineStr">
        <is>
          <t>IV</t>
        </is>
      </c>
      <c r="G97" s="4" t="n">
        <v>153.3</v>
      </c>
      <c r="H97" s="4" t="n">
        <v>4</v>
      </c>
      <c r="I97" s="4" t="inlineStr">
        <is>
          <t>yes</t>
        </is>
      </c>
      <c r="J97" s="4" t="inlineStr">
        <is>
          <t>unknown</t>
        </is>
      </c>
      <c r="K97" s="4" t="n">
        <v>34.73357817512442</v>
      </c>
      <c r="L97" s="4" t="n">
        <v>3.960326144506018</v>
      </c>
      <c r="M97" s="4" t="inlineStr">
        <is>
          <t>yes</t>
        </is>
      </c>
      <c r="N97" s="4" t="inlineStr">
        <is>
          <t>no</t>
        </is>
      </c>
      <c r="O97" s="25" t="n">
        <v>0.8270471079583023</v>
      </c>
      <c r="P97" s="4" t="inlineStr">
        <is>
          <t>yes</t>
        </is>
      </c>
      <c r="Q97" s="4" t="inlineStr">
        <is>
          <t>no</t>
        </is>
      </c>
      <c r="R97" s="25" t="n">
        <v>0.912460040302544</v>
      </c>
    </row>
    <row r="98">
      <c r="A98" s="4" t="inlineStr">
        <is>
          <t>SYN-20260820-0091</t>
        </is>
      </c>
      <c r="B98" s="4" t="inlineStr">
        <is>
          <t>2026-02-14</t>
        </is>
      </c>
      <c r="C98" s="4" t="n">
        <v>56</v>
      </c>
      <c r="D98" s="4" t="inlineStr">
        <is>
          <t>female</t>
        </is>
      </c>
      <c r="E98" s="4" t="inlineStr">
        <is>
          <t>colorectal</t>
        </is>
      </c>
      <c r="F98" s="4" t="inlineStr">
        <is>
          <t>III</t>
        </is>
      </c>
      <c r="G98" s="4" t="n">
        <v>160.9</v>
      </c>
      <c r="H98" s="4" t="n">
        <v>3</v>
      </c>
      <c r="I98" s="4" t="inlineStr">
        <is>
          <t>yes</t>
        </is>
      </c>
      <c r="J98" s="4" t="inlineStr">
        <is>
          <t>no</t>
        </is>
      </c>
      <c r="K98" s="4" t="n">
        <v>26.03634543264059</v>
      </c>
      <c r="L98" s="4" t="n">
        <v>2.274770203265002</v>
      </c>
      <c r="M98" s="4" t="inlineStr">
        <is>
          <t>no</t>
        </is>
      </c>
      <c r="N98" s="4" t="inlineStr">
        <is>
          <t>yes</t>
        </is>
      </c>
      <c r="O98" s="25" t="n">
        <v>0.6890582310960783</v>
      </c>
      <c r="P98" s="4" t="inlineStr">
        <is>
          <t>no</t>
        </is>
      </c>
      <c r="Q98" s="4" t="inlineStr">
        <is>
          <t>yes</t>
        </is>
      </c>
      <c r="R98" s="25" t="n">
        <v>0.8307870509673726</v>
      </c>
    </row>
    <row r="99">
      <c r="A99" s="4" t="inlineStr">
        <is>
          <t>SYN-20260820-0092</t>
        </is>
      </c>
      <c r="B99" s="4" t="inlineStr">
        <is>
          <t>2026-02-15</t>
        </is>
      </c>
      <c r="C99" s="4" t="n">
        <v>66</v>
      </c>
      <c r="D99" s="4" t="inlineStr">
        <is>
          <t>male</t>
        </is>
      </c>
      <c r="E99" s="4" t="inlineStr">
        <is>
          <t>oesophageal</t>
        </is>
      </c>
      <c r="F99" s="4" t="inlineStr">
        <is>
          <t>III</t>
        </is>
      </c>
      <c r="G99" s="4" t="n">
        <v>174.3</v>
      </c>
      <c r="H99" s="4" t="n">
        <v>2</v>
      </c>
      <c r="I99" s="4" t="inlineStr">
        <is>
          <t>yes</t>
        </is>
      </c>
      <c r="J99" s="4" t="inlineStr">
        <is>
          <t>yes</t>
        </is>
      </c>
      <c r="K99" s="4" t="n">
        <v>37.19821503866461</v>
      </c>
      <c r="L99" s="4" t="n">
        <v>2.318224250596401</v>
      </c>
      <c r="M99" s="4" t="inlineStr">
        <is>
          <t>yes</t>
        </is>
      </c>
      <c r="N99" s="4" t="inlineStr">
        <is>
          <t>no</t>
        </is>
      </c>
      <c r="O99" s="25" t="n">
        <v>0.7213904422896659</v>
      </c>
      <c r="P99" s="4" t="inlineStr">
        <is>
          <t>yes</t>
        </is>
      </c>
      <c r="Q99" s="4" t="inlineStr">
        <is>
          <t>no</t>
        </is>
      </c>
      <c r="R99" s="25" t="n">
        <v>0.845238503106553</v>
      </c>
    </row>
    <row r="100">
      <c r="A100" s="4" t="inlineStr">
        <is>
          <t>SYN-20260820-0093</t>
        </is>
      </c>
      <c r="B100" s="4" t="inlineStr">
        <is>
          <t>2026-02-16</t>
        </is>
      </c>
      <c r="C100" s="4" t="n">
        <v>51</v>
      </c>
      <c r="D100" s="4" t="inlineStr">
        <is>
          <t>female</t>
        </is>
      </c>
      <c r="E100" s="4" t="inlineStr">
        <is>
          <t>pancreatic</t>
        </is>
      </c>
      <c r="F100" s="4" t="inlineStr">
        <is>
          <t>II</t>
        </is>
      </c>
      <c r="G100" s="4" t="n">
        <v>171.9</v>
      </c>
      <c r="H100" s="4" t="n">
        <v>1</v>
      </c>
      <c r="I100" s="4" t="inlineStr">
        <is>
          <t>yes</t>
        </is>
      </c>
      <c r="J100" s="4" t="inlineStr">
        <is>
          <t>no</t>
        </is>
      </c>
      <c r="K100" s="4" t="n">
        <v>31.61902982814325</v>
      </c>
      <c r="L100" s="4" t="n">
        <v>1.342076364250704</v>
      </c>
      <c r="M100" s="4" t="inlineStr">
        <is>
          <t>no</t>
        </is>
      </c>
      <c r="N100" s="4" t="inlineStr">
        <is>
          <t>yes</t>
        </is>
      </c>
      <c r="O100" s="25" t="n">
        <v>0.5310773693352243</v>
      </c>
      <c r="P100" s="4" t="inlineStr">
        <is>
          <t>no</t>
        </is>
      </c>
      <c r="Q100" s="4" t="inlineStr">
        <is>
          <t>yes</t>
        </is>
      </c>
      <c r="R100" s="25" t="n">
        <v>0.6794643914012136</v>
      </c>
    </row>
    <row r="101">
      <c r="A101" s="4" t="inlineStr">
        <is>
          <t>SYN-20260820-0094</t>
        </is>
      </c>
      <c r="B101" s="4" t="inlineStr">
        <is>
          <t>2026-02-17</t>
        </is>
      </c>
      <c r="C101" s="4" t="n">
        <v>33</v>
      </c>
      <c r="D101" s="4" t="inlineStr">
        <is>
          <t>male</t>
        </is>
      </c>
      <c r="E101" s="4" t="inlineStr">
        <is>
          <t>pancreatic</t>
        </is>
      </c>
      <c r="F101" s="4" t="inlineStr">
        <is>
          <t>unknown</t>
        </is>
      </c>
      <c r="G101" s="4" t="n">
        <v>189.1</v>
      </c>
      <c r="H101" s="4" t="n">
        <v>2</v>
      </c>
      <c r="I101" s="4" t="inlineStr">
        <is>
          <t>no</t>
        </is>
      </c>
      <c r="J101" s="4" t="inlineStr">
        <is>
          <t>unknown</t>
        </is>
      </c>
      <c r="K101" s="4" t="n">
        <v>26.13677580434025</v>
      </c>
      <c r="L101" s="4" t="n">
        <v>2.188314338639283</v>
      </c>
      <c r="M101" s="4" t="inlineStr">
        <is>
          <t>unknown</t>
        </is>
      </c>
      <c r="N101" s="4" t="inlineStr">
        <is>
          <t>unknown</t>
        </is>
      </c>
      <c r="O101" s="25" t="n">
        <v>0.4096241983792709</v>
      </c>
      <c r="P101" s="4" t="inlineStr">
        <is>
          <t>yes</t>
        </is>
      </c>
      <c r="Q101" s="4" t="inlineStr">
        <is>
          <t>no</t>
        </is>
      </c>
      <c r="R101" s="25" t="n">
        <v>0.5691164373214114</v>
      </c>
    </row>
    <row r="102">
      <c r="A102" s="4" t="inlineStr">
        <is>
          <t>SYN-20260820-0095</t>
        </is>
      </c>
      <c r="B102" s="4" t="inlineStr">
        <is>
          <t>2026-02-18</t>
        </is>
      </c>
      <c r="C102" s="4" t="n">
        <v>74</v>
      </c>
      <c r="D102" s="4" t="inlineStr">
        <is>
          <t>male</t>
        </is>
      </c>
      <c r="E102" s="4" t="inlineStr">
        <is>
          <t>pancreatic</t>
        </is>
      </c>
      <c r="F102" s="4" t="inlineStr">
        <is>
          <t>III</t>
        </is>
      </c>
      <c r="G102" s="4" t="n">
        <v>184.8</v>
      </c>
      <c r="H102" s="4" t="n">
        <v>4</v>
      </c>
      <c r="I102" s="4" t="inlineStr">
        <is>
          <t>unknown</t>
        </is>
      </c>
      <c r="J102" s="4" t="inlineStr">
        <is>
          <t>unknown</t>
        </is>
      </c>
      <c r="K102" s="4" t="n">
        <v>23.58112666554225</v>
      </c>
      <c r="L102" s="4" t="n">
        <v>3.960502307609744</v>
      </c>
      <c r="M102" s="4" t="inlineStr">
        <is>
          <t>unknown</t>
        </is>
      </c>
      <c r="N102" s="4" t="inlineStr">
        <is>
          <t>unknown</t>
        </is>
      </c>
      <c r="O102" s="25" t="n">
        <v>0.8045321951996665</v>
      </c>
      <c r="P102" s="4" t="inlineStr">
        <is>
          <t>yes</t>
        </is>
      </c>
      <c r="Q102" s="4" t="inlineStr">
        <is>
          <t>no</t>
        </is>
      </c>
      <c r="R102" s="25" t="n">
        <v>0.8997162119413318</v>
      </c>
    </row>
    <row r="103">
      <c r="A103" s="4" t="inlineStr">
        <is>
          <t>SYN-20260820-0096</t>
        </is>
      </c>
      <c r="B103" s="4" t="inlineStr">
        <is>
          <t>2026-02-19</t>
        </is>
      </c>
      <c r="C103" s="4" t="n">
        <v>68</v>
      </c>
      <c r="D103" s="4" t="inlineStr">
        <is>
          <t>female</t>
        </is>
      </c>
      <c r="E103" s="4" t="inlineStr">
        <is>
          <t>pancreatic</t>
        </is>
      </c>
      <c r="F103" s="4" t="inlineStr">
        <is>
          <t>IV</t>
        </is>
      </c>
      <c r="G103" s="4" t="n">
        <v>176.6</v>
      </c>
      <c r="H103" s="4" t="n">
        <v>1</v>
      </c>
      <c r="I103" s="4" t="inlineStr">
        <is>
          <t>unknown</t>
        </is>
      </c>
      <c r="J103" s="4" t="inlineStr">
        <is>
          <t>no</t>
        </is>
      </c>
      <c r="K103" s="4" t="n">
        <v>35.7068651731652</v>
      </c>
      <c r="L103" s="4" t="n">
        <v>3.646950924067272</v>
      </c>
      <c r="M103" s="4" t="inlineStr">
        <is>
          <t>no</t>
        </is>
      </c>
      <c r="N103" s="4" t="inlineStr">
        <is>
          <t>unknown</t>
        </is>
      </c>
      <c r="O103" s="25" t="n">
        <v>0.7055988579670716</v>
      </c>
      <c r="P103" s="4" t="inlineStr">
        <is>
          <t>yes</t>
        </is>
      </c>
      <c r="Q103" s="4" t="inlineStr">
        <is>
          <t>no</t>
        </is>
      </c>
      <c r="R103" s="25" t="n">
        <v>0.8244861864639917</v>
      </c>
    </row>
    <row r="104">
      <c r="A104" s="4" t="inlineStr">
        <is>
          <t>SYN-20260820-0097</t>
        </is>
      </c>
      <c r="B104" s="4" t="inlineStr">
        <is>
          <t>2026-02-20</t>
        </is>
      </c>
      <c r="C104" s="4" t="n">
        <v>44</v>
      </c>
      <c r="D104" s="4" t="inlineStr">
        <is>
          <t>unknown</t>
        </is>
      </c>
      <c r="E104" s="4" t="inlineStr">
        <is>
          <t>oesophageal</t>
        </is>
      </c>
      <c r="F104" s="4" t="inlineStr">
        <is>
          <t>IV</t>
        </is>
      </c>
      <c r="G104" s="4" t="n">
        <v>164.3</v>
      </c>
      <c r="H104" s="4" t="n">
        <v>2</v>
      </c>
      <c r="I104" s="4" t="inlineStr">
        <is>
          <t>no</t>
        </is>
      </c>
      <c r="J104" s="4" t="inlineStr">
        <is>
          <t>no</t>
        </is>
      </c>
      <c r="K104" s="4" t="n">
        <v>26.41724292624161</v>
      </c>
      <c r="L104" s="4" t="n">
        <v>3.959489306685339</v>
      </c>
      <c r="M104" s="4" t="inlineStr">
        <is>
          <t>no</t>
        </is>
      </c>
      <c r="N104" s="4" t="inlineStr">
        <is>
          <t>no</t>
        </is>
      </c>
      <c r="O104" s="25" t="n">
        <v>0.6603229252414219</v>
      </c>
      <c r="P104" s="4" t="inlineStr">
        <is>
          <t>yes</t>
        </is>
      </c>
      <c r="Q104" s="4" t="inlineStr">
        <is>
          <t>no</t>
        </is>
      </c>
      <c r="R104" s="25" t="n">
        <v>0.7931344020976718</v>
      </c>
    </row>
    <row r="105">
      <c r="A105" s="4" t="inlineStr">
        <is>
          <t>SYN-20260820-0098</t>
        </is>
      </c>
      <c r="B105" s="4" t="inlineStr">
        <is>
          <t>2026-02-21</t>
        </is>
      </c>
      <c r="C105" s="4" t="n">
        <v>62</v>
      </c>
      <c r="D105" s="4" t="inlineStr">
        <is>
          <t>female</t>
        </is>
      </c>
      <c r="E105" s="4" t="inlineStr">
        <is>
          <t>pancreatic</t>
        </is>
      </c>
      <c r="F105" s="4" t="inlineStr">
        <is>
          <t>I</t>
        </is>
      </c>
      <c r="G105" s="4" t="n">
        <v>173.5</v>
      </c>
      <c r="H105" s="4" t="n">
        <v>3</v>
      </c>
      <c r="I105" s="4" t="inlineStr">
        <is>
          <t>yes</t>
        </is>
      </c>
      <c r="J105" s="4" t="inlineStr">
        <is>
          <t>no</t>
        </is>
      </c>
      <c r="K105" s="4" t="n">
        <v>36.95305168218322</v>
      </c>
      <c r="L105" s="4" t="n">
        <v>2.161924446985354</v>
      </c>
      <c r="M105" s="4" t="inlineStr">
        <is>
          <t>no</t>
        </is>
      </c>
      <c r="N105" s="4" t="inlineStr">
        <is>
          <t>yes</t>
        </is>
      </c>
      <c r="O105" s="25" t="n">
        <v>0.7273165449262792</v>
      </c>
      <c r="P105" s="4" t="inlineStr">
        <is>
          <t>yes</t>
        </is>
      </c>
      <c r="Q105" s="4" t="inlineStr">
        <is>
          <t>no</t>
        </is>
      </c>
      <c r="R105" s="25" t="n">
        <v>0.8549901983273175</v>
      </c>
    </row>
    <row r="106">
      <c r="A106" s="4" t="inlineStr">
        <is>
          <t>SYN-20260820-0099</t>
        </is>
      </c>
      <c r="B106" s="4" t="inlineStr">
        <is>
          <t>2026-02-22</t>
        </is>
      </c>
      <c r="C106" s="4" t="n">
        <v>76</v>
      </c>
      <c r="D106" s="4" t="inlineStr">
        <is>
          <t>male</t>
        </is>
      </c>
      <c r="E106" s="4" t="inlineStr">
        <is>
          <t>hepatobiliary</t>
        </is>
      </c>
      <c r="F106" s="4" t="inlineStr">
        <is>
          <t>IV</t>
        </is>
      </c>
      <c r="G106" s="4" t="n">
        <v>170.1</v>
      </c>
      <c r="H106" s="4" t="n">
        <v>1</v>
      </c>
      <c r="I106" s="4" t="inlineStr">
        <is>
          <t>yes</t>
        </is>
      </c>
      <c r="J106" s="4" t="inlineStr">
        <is>
          <t>unknown</t>
        </is>
      </c>
      <c r="K106" s="4" t="n">
        <v>28.79172295855293</v>
      </c>
      <c r="L106" s="4" t="n">
        <v>3.453630948241898</v>
      </c>
      <c r="M106" s="4" t="inlineStr">
        <is>
          <t>unknown</t>
        </is>
      </c>
      <c r="N106" s="4" t="inlineStr">
        <is>
          <t>unknown</t>
        </is>
      </c>
      <c r="O106" s="25" t="n">
        <v>0.8098401769500533</v>
      </c>
      <c r="P106" s="4" t="inlineStr">
        <is>
          <t>yes</t>
        </is>
      </c>
      <c r="Q106" s="4" t="inlineStr">
        <is>
          <t>no</t>
        </is>
      </c>
      <c r="R106" s="25" t="n">
        <v>0.8973429817205885</v>
      </c>
    </row>
    <row r="107">
      <c r="A107" s="4" t="inlineStr">
        <is>
          <t>SYN-20260820-0100</t>
        </is>
      </c>
      <c r="B107" s="4" t="inlineStr">
        <is>
          <t>2026-02-23</t>
        </is>
      </c>
      <c r="C107" s="4" t="n">
        <v>75</v>
      </c>
      <c r="D107" s="4" t="inlineStr">
        <is>
          <t>female</t>
        </is>
      </c>
      <c r="E107" s="4" t="inlineStr">
        <is>
          <t>other solid tumour</t>
        </is>
      </c>
      <c r="F107" s="4" t="inlineStr">
        <is>
          <t>IV</t>
        </is>
      </c>
      <c r="G107" s="4" t="n">
        <v>169.6</v>
      </c>
      <c r="H107" s="4" t="n">
        <v>1</v>
      </c>
      <c r="I107" s="4" t="inlineStr">
        <is>
          <t>no</t>
        </is>
      </c>
      <c r="J107" s="4" t="inlineStr">
        <is>
          <t>no</t>
        </is>
      </c>
      <c r="K107" s="4" t="n">
        <v>34.39384289337843</v>
      </c>
      <c r="L107" s="4" t="n">
        <v>-1.052083226933332</v>
      </c>
      <c r="M107" s="4" t="inlineStr">
        <is>
          <t>no</t>
        </is>
      </c>
      <c r="N107" s="4" t="inlineStr">
        <is>
          <t>no</t>
        </is>
      </c>
      <c r="O107" s="25" t="n">
        <v>0.320821300824607</v>
      </c>
      <c r="P107" s="4" t="inlineStr">
        <is>
          <t>no</t>
        </is>
      </c>
      <c r="Q107" s="4" t="inlineStr">
        <is>
          <t>no</t>
        </is>
      </c>
      <c r="R107" s="25" t="n">
        <v>0.4625701546562505</v>
      </c>
    </row>
    <row r="108">
      <c r="A108" s="4" t="inlineStr">
        <is>
          <t>SYN-20260820-0101</t>
        </is>
      </c>
      <c r="B108" s="4" t="inlineStr">
        <is>
          <t>2026-02-24</t>
        </is>
      </c>
      <c r="C108" s="4" t="n">
        <v>73</v>
      </c>
      <c r="D108" s="4" t="inlineStr">
        <is>
          <t>female</t>
        </is>
      </c>
      <c r="E108" s="4" t="inlineStr">
        <is>
          <t>colorectal</t>
        </is>
      </c>
      <c r="F108" s="4" t="inlineStr">
        <is>
          <t>IV</t>
        </is>
      </c>
      <c r="G108" s="4" t="n">
        <v>160.1</v>
      </c>
      <c r="H108" s="4" t="n">
        <v>2</v>
      </c>
      <c r="I108" s="4" t="inlineStr">
        <is>
          <t>no</t>
        </is>
      </c>
      <c r="J108" s="4" t="inlineStr">
        <is>
          <t>no</t>
        </is>
      </c>
      <c r="K108" s="4" t="n">
        <v>33.90448115461878</v>
      </c>
      <c r="L108" s="4" t="n">
        <v>3.247570167332809</v>
      </c>
      <c r="M108" s="4" t="inlineStr">
        <is>
          <t>no</t>
        </is>
      </c>
      <c r="N108" s="4" t="inlineStr">
        <is>
          <t>no</t>
        </is>
      </c>
      <c r="O108" s="25" t="n">
        <v>0.5798564469406433</v>
      </c>
      <c r="P108" s="4" t="inlineStr">
        <is>
          <t>yes</t>
        </is>
      </c>
      <c r="Q108" s="4" t="inlineStr">
        <is>
          <t>no</t>
        </is>
      </c>
      <c r="R108" s="25" t="n">
        <v>0.7382969256916426</v>
      </c>
    </row>
    <row r="109">
      <c r="A109" s="4" t="inlineStr">
        <is>
          <t>SYN-20260820-0102</t>
        </is>
      </c>
      <c r="B109" s="4" t="inlineStr">
        <is>
          <t>2026-02-25</t>
        </is>
      </c>
      <c r="C109" s="4" t="n">
        <v>79</v>
      </c>
      <c r="D109" s="4" t="inlineStr">
        <is>
          <t>male</t>
        </is>
      </c>
      <c r="E109" s="4" t="inlineStr">
        <is>
          <t>oesophageal</t>
        </is>
      </c>
      <c r="F109" s="4" t="inlineStr">
        <is>
          <t>III</t>
        </is>
      </c>
      <c r="G109" s="4" t="n">
        <v>180.3</v>
      </c>
      <c r="H109" s="4" t="n">
        <v>2</v>
      </c>
      <c r="I109" s="4" t="inlineStr">
        <is>
          <t>no</t>
        </is>
      </c>
      <c r="J109" s="4" t="inlineStr">
        <is>
          <t>no</t>
        </is>
      </c>
      <c r="K109" s="4" t="n">
        <v>26.26177053158152</v>
      </c>
      <c r="L109" s="4" t="n">
        <v>1.623627291688279</v>
      </c>
      <c r="M109" s="4" t="inlineStr">
        <is>
          <t>no</t>
        </is>
      </c>
      <c r="N109" s="4" t="inlineStr">
        <is>
          <t>no</t>
        </is>
      </c>
      <c r="O109" s="25" t="n">
        <v>0.5277393747102312</v>
      </c>
      <c r="P109" s="4" t="inlineStr">
        <is>
          <t>yes</t>
        </is>
      </c>
      <c r="Q109" s="4" t="inlineStr">
        <is>
          <t>no</t>
        </is>
      </c>
      <c r="R109" s="25" t="n">
        <v>0.6885918091956581</v>
      </c>
    </row>
    <row r="110">
      <c r="A110" s="4" t="inlineStr">
        <is>
          <t>SYN-20260820-0103</t>
        </is>
      </c>
      <c r="B110" s="4" t="inlineStr">
        <is>
          <t>2026-02-26</t>
        </is>
      </c>
      <c r="C110" s="4" t="n">
        <v>82</v>
      </c>
      <c r="D110" s="4" t="inlineStr">
        <is>
          <t>female</t>
        </is>
      </c>
      <c r="E110" s="4" t="inlineStr">
        <is>
          <t>breast</t>
        </is>
      </c>
      <c r="F110" s="4" t="inlineStr">
        <is>
          <t>III</t>
        </is>
      </c>
      <c r="G110" s="4" t="n">
        <v>173.2</v>
      </c>
      <c r="H110" s="4" t="n">
        <v>2</v>
      </c>
      <c r="I110" s="4" t="inlineStr">
        <is>
          <t>no</t>
        </is>
      </c>
      <c r="J110" s="4" t="inlineStr">
        <is>
          <t>no</t>
        </is>
      </c>
      <c r="K110" s="4" t="n">
        <v>32.9749345294924</v>
      </c>
      <c r="L110" s="4" t="n">
        <v>1.951669177702014</v>
      </c>
      <c r="M110" s="4" t="inlineStr">
        <is>
          <t>no</t>
        </is>
      </c>
      <c r="N110" s="4" t="inlineStr">
        <is>
          <t>no</t>
        </is>
      </c>
      <c r="O110" s="25" t="n">
        <v>0.3438276413853895</v>
      </c>
      <c r="P110" s="4" t="inlineStr">
        <is>
          <t>no</t>
        </is>
      </c>
      <c r="Q110" s="4" t="inlineStr">
        <is>
          <t>no</t>
        </is>
      </c>
      <c r="R110" s="25" t="n">
        <v>0.5106859667453766</v>
      </c>
    </row>
    <row r="111">
      <c r="A111" s="4" t="inlineStr">
        <is>
          <t>SYN-20260820-0104</t>
        </is>
      </c>
      <c r="B111" s="4" t="inlineStr">
        <is>
          <t>2026-02-27</t>
        </is>
      </c>
      <c r="C111" s="4" t="n">
        <v>49</v>
      </c>
      <c r="D111" s="4" t="inlineStr">
        <is>
          <t>female</t>
        </is>
      </c>
      <c r="E111" s="4" t="inlineStr">
        <is>
          <t>lung</t>
        </is>
      </c>
      <c r="F111" s="4" t="inlineStr">
        <is>
          <t>IV</t>
        </is>
      </c>
      <c r="G111" s="4" t="n">
        <v>155.9</v>
      </c>
      <c r="H111" s="4" t="inlineStr">
        <is>
          <t>unknown</t>
        </is>
      </c>
      <c r="I111" s="4" t="inlineStr">
        <is>
          <t>yes</t>
        </is>
      </c>
      <c r="J111" s="4" t="inlineStr">
        <is>
          <t>no</t>
        </is>
      </c>
      <c r="K111" s="4" t="n">
        <v>19.25503634877211</v>
      </c>
      <c r="L111" s="4" t="n">
        <v>2.522391168506558</v>
      </c>
      <c r="M111" s="4" t="inlineStr">
        <is>
          <t>yes</t>
        </is>
      </c>
      <c r="N111" s="4" t="inlineStr">
        <is>
          <t>no</t>
        </is>
      </c>
      <c r="O111" s="25" t="n">
        <v>0.7554531481764788</v>
      </c>
      <c r="P111" s="4" t="inlineStr">
        <is>
          <t>yes</t>
        </is>
      </c>
      <c r="Q111" s="4" t="inlineStr">
        <is>
          <t>no</t>
        </is>
      </c>
      <c r="R111" s="25" t="n">
        <v>0.8615660822285865</v>
      </c>
    </row>
    <row r="112">
      <c r="A112" s="4" t="inlineStr">
        <is>
          <t>SYN-20260820-0105</t>
        </is>
      </c>
      <c r="B112" s="4" t="inlineStr">
        <is>
          <t>2026-02-28</t>
        </is>
      </c>
      <c r="C112" s="4" t="n">
        <v>86</v>
      </c>
      <c r="D112" s="4" t="inlineStr">
        <is>
          <t>female</t>
        </is>
      </c>
      <c r="E112" s="4" t="inlineStr">
        <is>
          <t>lung</t>
        </is>
      </c>
      <c r="F112" s="4" t="inlineStr">
        <is>
          <t>II</t>
        </is>
      </c>
      <c r="G112" s="4" t="n">
        <v>159.2</v>
      </c>
      <c r="H112" s="4" t="inlineStr">
        <is>
          <t>unknown</t>
        </is>
      </c>
      <c r="I112" s="4" t="inlineStr">
        <is>
          <t>no</t>
        </is>
      </c>
      <c r="J112" s="4" t="inlineStr">
        <is>
          <t>yes</t>
        </is>
      </c>
      <c r="K112" s="4" t="n">
        <v>24.75710840635338</v>
      </c>
      <c r="L112" s="4" t="n">
        <v>-0.08294254633617189</v>
      </c>
      <c r="M112" s="4" t="inlineStr">
        <is>
          <t>no</t>
        </is>
      </c>
      <c r="N112" s="4" t="inlineStr">
        <is>
          <t>no</t>
        </is>
      </c>
      <c r="O112" s="25" t="n">
        <v>0.2788848219771369</v>
      </c>
      <c r="P112" s="4" t="inlineStr">
        <is>
          <t>no</t>
        </is>
      </c>
      <c r="Q112" s="4" t="inlineStr">
        <is>
          <t>no</t>
        </is>
      </c>
      <c r="R112" s="25" t="n">
        <v>0.41338242108267</v>
      </c>
    </row>
    <row r="113">
      <c r="A113" s="4" t="inlineStr">
        <is>
          <t>SYN-20260820-0106</t>
        </is>
      </c>
      <c r="B113" s="4" t="inlineStr">
        <is>
          <t>2026-03-01</t>
        </is>
      </c>
      <c r="C113" s="4" t="n">
        <v>55</v>
      </c>
      <c r="D113" s="4" t="inlineStr">
        <is>
          <t>male</t>
        </is>
      </c>
      <c r="E113" s="4" t="inlineStr">
        <is>
          <t>colorectal</t>
        </is>
      </c>
      <c r="F113" s="4" t="inlineStr">
        <is>
          <t>II</t>
        </is>
      </c>
      <c r="G113" s="4" t="n">
        <v>175.4</v>
      </c>
      <c r="H113" s="4" t="n">
        <v>1</v>
      </c>
      <c r="I113" s="4" t="inlineStr">
        <is>
          <t>yes</t>
        </is>
      </c>
      <c r="J113" s="4" t="inlineStr">
        <is>
          <t>no</t>
        </is>
      </c>
      <c r="K113" s="4" t="n">
        <v>25.39528479617854</v>
      </c>
      <c r="L113" s="4" t="n">
        <v>0.7621079907022753</v>
      </c>
      <c r="M113" s="4" t="inlineStr">
        <is>
          <t>no</t>
        </is>
      </c>
      <c r="N113" s="4" t="inlineStr">
        <is>
          <t>yes</t>
        </is>
      </c>
      <c r="O113" s="25" t="n">
        <v>0.3427809044314263</v>
      </c>
      <c r="P113" s="4" t="inlineStr">
        <is>
          <t>no</t>
        </is>
      </c>
      <c r="Q113" s="4" t="inlineStr">
        <is>
          <t>yes</t>
        </is>
      </c>
      <c r="R113" s="25" t="n">
        <v>0.4910799961430284</v>
      </c>
    </row>
    <row r="114">
      <c r="A114" s="4" t="inlineStr">
        <is>
          <t>SYN-20260820-0107</t>
        </is>
      </c>
      <c r="B114" s="4" t="inlineStr">
        <is>
          <t>2026-03-02</t>
        </is>
      </c>
      <c r="C114" s="4" t="n">
        <v>55</v>
      </c>
      <c r="D114" s="4" t="inlineStr">
        <is>
          <t>female</t>
        </is>
      </c>
      <c r="E114" s="4" t="inlineStr">
        <is>
          <t>oesophageal</t>
        </is>
      </c>
      <c r="F114" s="4" t="inlineStr">
        <is>
          <t>IV</t>
        </is>
      </c>
      <c r="G114" s="4" t="n">
        <v>165.1</v>
      </c>
      <c r="H114" s="4" t="n">
        <v>0</v>
      </c>
      <c r="I114" s="4" t="inlineStr">
        <is>
          <t>yes</t>
        </is>
      </c>
      <c r="J114" s="4" t="inlineStr">
        <is>
          <t>no</t>
        </is>
      </c>
      <c r="K114" s="4" t="n">
        <v>20.04218209619851</v>
      </c>
      <c r="L114" s="4" t="n">
        <v>3.055737937643074</v>
      </c>
      <c r="M114" s="4" t="inlineStr">
        <is>
          <t>yes</t>
        </is>
      </c>
      <c r="N114" s="4" t="inlineStr">
        <is>
          <t>no</t>
        </is>
      </c>
      <c r="O114" s="25" t="n">
        <v>0.6563895716281291</v>
      </c>
      <c r="P114" s="4" t="inlineStr">
        <is>
          <t>yes</t>
        </is>
      </c>
      <c r="Q114" s="4" t="inlineStr">
        <is>
          <t>no</t>
        </is>
      </c>
      <c r="R114" s="25" t="n">
        <v>0.7954931378144297</v>
      </c>
    </row>
    <row r="115">
      <c r="A115" s="4" t="inlineStr">
        <is>
          <t>SYN-20260820-0108</t>
        </is>
      </c>
      <c r="B115" s="4" t="inlineStr">
        <is>
          <t>2026-03-03</t>
        </is>
      </c>
      <c r="C115" s="4" t="n">
        <v>24</v>
      </c>
      <c r="D115" s="4" t="inlineStr">
        <is>
          <t>female</t>
        </is>
      </c>
      <c r="E115" s="4" t="inlineStr">
        <is>
          <t>lung</t>
        </is>
      </c>
      <c r="F115" s="4" t="inlineStr">
        <is>
          <t>IV</t>
        </is>
      </c>
      <c r="G115" s="4" t="n">
        <v>168.7</v>
      </c>
      <c r="H115" s="4" t="n">
        <v>1</v>
      </c>
      <c r="I115" s="4" t="inlineStr">
        <is>
          <t>no</t>
        </is>
      </c>
      <c r="J115" s="4" t="inlineStr">
        <is>
          <t>no</t>
        </is>
      </c>
      <c r="K115" s="4" t="n">
        <v>39.58546280721963</v>
      </c>
      <c r="L115" s="4" t="n">
        <v>1.731446913924845</v>
      </c>
      <c r="M115" s="4" t="inlineStr">
        <is>
          <t>no</t>
        </is>
      </c>
      <c r="N115" s="4" t="inlineStr">
        <is>
          <t>no</t>
        </is>
      </c>
      <c r="O115" s="25" t="n">
        <v>0.4563831697798443</v>
      </c>
      <c r="P115" s="4" t="inlineStr">
        <is>
          <t>no</t>
        </is>
      </c>
      <c r="Q115" s="4" t="inlineStr">
        <is>
          <t>no</t>
        </is>
      </c>
      <c r="R115" s="25" t="n">
        <v>0.601020027710049</v>
      </c>
    </row>
    <row r="116">
      <c r="A116" s="4" t="inlineStr">
        <is>
          <t>SYN-20260820-0109</t>
        </is>
      </c>
      <c r="B116" s="4" t="inlineStr">
        <is>
          <t>2026-03-04</t>
        </is>
      </c>
      <c r="C116" s="4" t="n">
        <v>62</v>
      </c>
      <c r="D116" s="4" t="inlineStr">
        <is>
          <t>male</t>
        </is>
      </c>
      <c r="E116" s="4" t="inlineStr">
        <is>
          <t>oesophageal</t>
        </is>
      </c>
      <c r="F116" s="4" t="inlineStr">
        <is>
          <t>III</t>
        </is>
      </c>
      <c r="G116" s="4" t="n">
        <v>182.3</v>
      </c>
      <c r="H116" s="4" t="n">
        <v>0</v>
      </c>
      <c r="I116" s="4" t="inlineStr">
        <is>
          <t>no</t>
        </is>
      </c>
      <c r="J116" s="4" t="inlineStr">
        <is>
          <t>unknown</t>
        </is>
      </c>
      <c r="K116" s="4" t="n">
        <v>23.18759292263871</v>
      </c>
      <c r="L116" s="4" t="n">
        <v>0.006488029585409009</v>
      </c>
      <c r="M116" s="4" t="inlineStr">
        <is>
          <t>no</t>
        </is>
      </c>
      <c r="N116" s="4" t="inlineStr">
        <is>
          <t>no</t>
        </is>
      </c>
      <c r="O116" s="25" t="n">
        <v>0.3210051107839745</v>
      </c>
      <c r="P116" s="4" t="inlineStr">
        <is>
          <t>no</t>
        </is>
      </c>
      <c r="Q116" s="4" t="inlineStr">
        <is>
          <t>no</t>
        </is>
      </c>
      <c r="R116" s="25" t="n">
        <v>0.4752635122708999</v>
      </c>
    </row>
    <row r="117">
      <c r="A117" s="4" t="inlineStr">
        <is>
          <t>SYN-20260820-0110</t>
        </is>
      </c>
      <c r="B117" s="4" t="inlineStr">
        <is>
          <t>2026-03-05</t>
        </is>
      </c>
      <c r="C117" s="4" t="n">
        <v>79</v>
      </c>
      <c r="D117" s="4" t="inlineStr">
        <is>
          <t>male</t>
        </is>
      </c>
      <c r="E117" s="4" t="inlineStr">
        <is>
          <t>prostate</t>
        </is>
      </c>
      <c r="F117" s="4" t="inlineStr">
        <is>
          <t>II</t>
        </is>
      </c>
      <c r="G117" s="4" t="n">
        <v>180.2</v>
      </c>
      <c r="H117" s="4" t="n">
        <v>2</v>
      </c>
      <c r="I117" s="4" t="inlineStr">
        <is>
          <t>no</t>
        </is>
      </c>
      <c r="J117" s="4" t="inlineStr">
        <is>
          <t>unknown</t>
        </is>
      </c>
      <c r="K117" s="4" t="n">
        <v>27.01277776203774</v>
      </c>
      <c r="L117" s="4" t="n">
        <v>0.3521686774362147</v>
      </c>
      <c r="M117" s="4" t="inlineStr">
        <is>
          <t>no</t>
        </is>
      </c>
      <c r="N117" s="4" t="inlineStr">
        <is>
          <t>no</t>
        </is>
      </c>
      <c r="O117" s="25" t="n">
        <v>0.2397194785633674</v>
      </c>
      <c r="P117" s="4" t="inlineStr">
        <is>
          <t>unknown</t>
        </is>
      </c>
      <c r="Q117" s="4" t="inlineStr">
        <is>
          <t>unknown</t>
        </is>
      </c>
      <c r="R117" s="25" t="n">
        <v>0.3782048545220452</v>
      </c>
    </row>
    <row r="118">
      <c r="A118" s="4" t="inlineStr">
        <is>
          <t>SYN-20260820-0111</t>
        </is>
      </c>
      <c r="B118" s="4" t="inlineStr">
        <is>
          <t>2026-03-06</t>
        </is>
      </c>
      <c r="C118" s="4" t="n">
        <v>61</v>
      </c>
      <c r="D118" s="4" t="inlineStr">
        <is>
          <t>female</t>
        </is>
      </c>
      <c r="E118" s="4" t="inlineStr">
        <is>
          <t>colorectal</t>
        </is>
      </c>
      <c r="F118" s="4" t="inlineStr">
        <is>
          <t>II</t>
        </is>
      </c>
      <c r="G118" s="4" t="n">
        <v>163.6</v>
      </c>
      <c r="H118" s="4" t="n">
        <v>1</v>
      </c>
      <c r="I118" s="4" t="inlineStr">
        <is>
          <t>no</t>
        </is>
      </c>
      <c r="J118" s="4" t="inlineStr">
        <is>
          <t>yes</t>
        </is>
      </c>
      <c r="K118" s="4" t="n">
        <v>28.53955320687944</v>
      </c>
      <c r="L118" s="4" t="n">
        <v>-0.3494482396216383</v>
      </c>
      <c r="M118" s="4" t="inlineStr">
        <is>
          <t>no</t>
        </is>
      </c>
      <c r="N118" s="4" t="inlineStr">
        <is>
          <t>no</t>
        </is>
      </c>
      <c r="O118" s="25" t="n">
        <v>0.2227001388253088</v>
      </c>
      <c r="P118" s="4" t="inlineStr">
        <is>
          <t>yes</t>
        </is>
      </c>
      <c r="Q118" s="4" t="inlineStr">
        <is>
          <t>no</t>
        </is>
      </c>
      <c r="R118" s="25" t="n">
        <v>0.3429895373265012</v>
      </c>
    </row>
    <row r="119">
      <c r="A119" s="4" t="inlineStr">
        <is>
          <t>SYN-20260820-0112</t>
        </is>
      </c>
      <c r="B119" s="4" t="inlineStr">
        <is>
          <t>2026-03-07</t>
        </is>
      </c>
      <c r="C119" s="4" t="n">
        <v>56</v>
      </c>
      <c r="D119" s="4" t="inlineStr">
        <is>
          <t>male</t>
        </is>
      </c>
      <c r="E119" s="4" t="inlineStr">
        <is>
          <t>gastric</t>
        </is>
      </c>
      <c r="F119" s="4" t="inlineStr">
        <is>
          <t>IV</t>
        </is>
      </c>
      <c r="G119" s="4" t="n">
        <v>184.1</v>
      </c>
      <c r="H119" s="4" t="n">
        <v>2</v>
      </c>
      <c r="I119" s="4" t="inlineStr">
        <is>
          <t>yes</t>
        </is>
      </c>
      <c r="J119" s="4" t="inlineStr">
        <is>
          <t>no</t>
        </is>
      </c>
      <c r="K119" s="4" t="n">
        <v>20.07121864489843</v>
      </c>
      <c r="L119" s="4" t="n">
        <v>3.951938553638484</v>
      </c>
      <c r="M119" s="4" t="inlineStr">
        <is>
          <t>yes</t>
        </is>
      </c>
      <c r="N119" s="4" t="inlineStr">
        <is>
          <t>no</t>
        </is>
      </c>
      <c r="O119" s="25" t="n">
        <v>0.8407410232853575</v>
      </c>
      <c r="P119" s="4" t="inlineStr">
        <is>
          <t>yes</t>
        </is>
      </c>
      <c r="Q119" s="4" t="inlineStr">
        <is>
          <t>no</t>
        </is>
      </c>
      <c r="R119" s="25" t="n">
        <v>0.9200326537426502</v>
      </c>
    </row>
    <row r="120">
      <c r="A120" s="4" t="inlineStr">
        <is>
          <t>SYN-20260820-0113</t>
        </is>
      </c>
      <c r="B120" s="4" t="inlineStr">
        <is>
          <t>2026-03-08</t>
        </is>
      </c>
      <c r="C120" s="4" t="n">
        <v>86</v>
      </c>
      <c r="D120" s="4" t="inlineStr">
        <is>
          <t>male</t>
        </is>
      </c>
      <c r="E120" s="4" t="inlineStr">
        <is>
          <t>breast</t>
        </is>
      </c>
      <c r="F120" s="4" t="inlineStr">
        <is>
          <t>IV</t>
        </is>
      </c>
      <c r="G120" s="4" t="n">
        <v>169.3</v>
      </c>
      <c r="H120" s="4" t="n">
        <v>1</v>
      </c>
      <c r="I120" s="4" t="inlineStr">
        <is>
          <t>no</t>
        </is>
      </c>
      <c r="J120" s="4" t="inlineStr">
        <is>
          <t>unknown</t>
        </is>
      </c>
      <c r="K120" s="4" t="n">
        <v>26.98404779207947</v>
      </c>
      <c r="L120" s="4" t="n">
        <v>1.310450427459488</v>
      </c>
      <c r="M120" s="4" t="inlineStr">
        <is>
          <t>unknown</t>
        </is>
      </c>
      <c r="N120" s="4" t="inlineStr">
        <is>
          <t>unknown</t>
        </is>
      </c>
      <c r="O120" s="25" t="n">
        <v>0.3590151014694732</v>
      </c>
      <c r="P120" s="4" t="inlineStr">
        <is>
          <t>unknown</t>
        </is>
      </c>
      <c r="Q120" s="4" t="inlineStr">
        <is>
          <t>unknown</t>
        </is>
      </c>
      <c r="R120" s="25" t="n">
        <v>0.5116397876622349</v>
      </c>
    </row>
    <row r="121">
      <c r="A121" s="4" t="inlineStr">
        <is>
          <t>SYN-20260820-0114</t>
        </is>
      </c>
      <c r="B121" s="4" t="inlineStr">
        <is>
          <t>2026-03-09</t>
        </is>
      </c>
      <c r="C121" s="4" t="n">
        <v>53</v>
      </c>
      <c r="D121" s="4" t="inlineStr">
        <is>
          <t>male</t>
        </is>
      </c>
      <c r="E121" s="4" t="inlineStr">
        <is>
          <t>hepatobiliary</t>
        </is>
      </c>
      <c r="F121" s="4" t="inlineStr">
        <is>
          <t>I</t>
        </is>
      </c>
      <c r="G121" s="4" t="n">
        <v>182.4</v>
      </c>
      <c r="H121" s="4" t="inlineStr">
        <is>
          <t>unknown</t>
        </is>
      </c>
      <c r="I121" s="4" t="inlineStr">
        <is>
          <t>no</t>
        </is>
      </c>
      <c r="J121" s="4" t="inlineStr">
        <is>
          <t>yes</t>
        </is>
      </c>
      <c r="K121" s="4" t="n">
        <v>20.02268726915974</v>
      </c>
      <c r="L121" s="4" t="n">
        <v>1.297950837889503</v>
      </c>
      <c r="M121" s="4" t="inlineStr">
        <is>
          <t>no</t>
        </is>
      </c>
      <c r="N121" s="4" t="inlineStr">
        <is>
          <t>no</t>
        </is>
      </c>
      <c r="O121" s="25" t="n">
        <v>0.3033773650466715</v>
      </c>
      <c r="P121" s="4" t="inlineStr">
        <is>
          <t>yes</t>
        </is>
      </c>
      <c r="Q121" s="4" t="inlineStr">
        <is>
          <t>no</t>
        </is>
      </c>
      <c r="R121" s="25" t="n">
        <v>0.4365176074068136</v>
      </c>
    </row>
    <row r="122">
      <c r="A122" s="4" t="inlineStr">
        <is>
          <t>SYN-20260820-0115</t>
        </is>
      </c>
      <c r="B122" s="4" t="inlineStr">
        <is>
          <t>2026-03-10</t>
        </is>
      </c>
      <c r="C122" s="4" t="n">
        <v>33</v>
      </c>
      <c r="D122" s="4" t="inlineStr">
        <is>
          <t>female</t>
        </is>
      </c>
      <c r="E122" s="4" t="inlineStr">
        <is>
          <t>lung</t>
        </is>
      </c>
      <c r="F122" s="4" t="inlineStr">
        <is>
          <t>III</t>
        </is>
      </c>
      <c r="G122" s="4" t="n">
        <v>161.9</v>
      </c>
      <c r="H122" s="4" t="n">
        <v>1</v>
      </c>
      <c r="I122" s="4" t="inlineStr">
        <is>
          <t>no</t>
        </is>
      </c>
      <c r="J122" s="4" t="inlineStr">
        <is>
          <t>unknown</t>
        </is>
      </c>
      <c r="K122" s="4" t="n">
        <v>29.04743356092968</v>
      </c>
      <c r="L122" s="4" t="n">
        <v>0.2868106394960437</v>
      </c>
      <c r="M122" s="4" t="inlineStr">
        <is>
          <t>no</t>
        </is>
      </c>
      <c r="N122" s="4" t="inlineStr">
        <is>
          <t>no</t>
        </is>
      </c>
      <c r="O122" s="25" t="n">
        <v>0.2967724965912294</v>
      </c>
      <c r="P122" s="4" t="inlineStr">
        <is>
          <t>no</t>
        </is>
      </c>
      <c r="Q122" s="4" t="inlineStr">
        <is>
          <t>no</t>
        </is>
      </c>
      <c r="R122" s="25" t="n">
        <v>0.4238524469782559</v>
      </c>
    </row>
    <row r="123">
      <c r="A123" s="4" t="inlineStr">
        <is>
          <t>SYN-20260820-0116</t>
        </is>
      </c>
      <c r="B123" s="4" t="inlineStr">
        <is>
          <t>2026-03-11</t>
        </is>
      </c>
      <c r="C123" s="4" t="n">
        <v>48</v>
      </c>
      <c r="D123" s="4" t="inlineStr">
        <is>
          <t>male</t>
        </is>
      </c>
      <c r="E123" s="4" t="inlineStr">
        <is>
          <t>head and neck</t>
        </is>
      </c>
      <c r="F123" s="4" t="inlineStr">
        <is>
          <t>IV</t>
        </is>
      </c>
      <c r="G123" s="4" t="n">
        <v>185.2</v>
      </c>
      <c r="H123" s="4" t="n">
        <v>0</v>
      </c>
      <c r="I123" s="4" t="inlineStr">
        <is>
          <t>yes</t>
        </is>
      </c>
      <c r="J123" s="4" t="inlineStr">
        <is>
          <t>no</t>
        </is>
      </c>
      <c r="K123" s="4" t="n">
        <v>19.87635805550243</v>
      </c>
      <c r="L123" s="4" t="n">
        <v>1.813258825054369</v>
      </c>
      <c r="M123" s="4" t="inlineStr">
        <is>
          <t>no</t>
        </is>
      </c>
      <c r="N123" s="4" t="inlineStr">
        <is>
          <t>yes</t>
        </is>
      </c>
      <c r="O123" s="25" t="n">
        <v>0.6760600287363763</v>
      </c>
      <c r="P123" s="4" t="inlineStr">
        <is>
          <t>yes</t>
        </is>
      </c>
      <c r="Q123" s="4" t="inlineStr">
        <is>
          <t>no</t>
        </is>
      </c>
      <c r="R123" s="25" t="n">
        <v>0.8133594892504934</v>
      </c>
    </row>
    <row r="124">
      <c r="A124" s="4" t="inlineStr">
        <is>
          <t>SYN-20260820-0117</t>
        </is>
      </c>
      <c r="B124" s="4" t="inlineStr">
        <is>
          <t>2026-03-12</t>
        </is>
      </c>
      <c r="C124" s="4" t="n">
        <v>72</v>
      </c>
      <c r="D124" s="4" t="inlineStr">
        <is>
          <t>male</t>
        </is>
      </c>
      <c r="E124" s="4" t="inlineStr">
        <is>
          <t>lung</t>
        </is>
      </c>
      <c r="F124" s="4" t="inlineStr">
        <is>
          <t>IV</t>
        </is>
      </c>
      <c r="G124" s="4" t="n">
        <v>168.3</v>
      </c>
      <c r="H124" s="4" t="n">
        <v>1</v>
      </c>
      <c r="I124" s="4" t="inlineStr">
        <is>
          <t>yes</t>
        </is>
      </c>
      <c r="J124" s="4" t="inlineStr">
        <is>
          <t>yes</t>
        </is>
      </c>
      <c r="K124" s="4" t="n">
        <v>29.97646239755917</v>
      </c>
      <c r="L124" s="4" t="n">
        <v>1.923232416573287</v>
      </c>
      <c r="M124" s="4" t="inlineStr">
        <is>
          <t>no</t>
        </is>
      </c>
      <c r="N124" s="4" t="inlineStr">
        <is>
          <t>yes</t>
        </is>
      </c>
      <c r="O124" s="25" t="n">
        <v>0.7005713828370077</v>
      </c>
      <c r="P124" s="4" t="inlineStr">
        <is>
          <t>yes</t>
        </is>
      </c>
      <c r="Q124" s="4" t="inlineStr">
        <is>
          <t>no</t>
        </is>
      </c>
      <c r="R124" s="25" t="n">
        <v>0.8232443608575194</v>
      </c>
    </row>
    <row r="125">
      <c r="A125" s="4" t="inlineStr">
        <is>
          <t>SYN-20260820-0118</t>
        </is>
      </c>
      <c r="B125" s="4" t="inlineStr">
        <is>
          <t>2026-03-13</t>
        </is>
      </c>
      <c r="C125" s="4" t="n">
        <v>49</v>
      </c>
      <c r="D125" s="4" t="inlineStr">
        <is>
          <t>male</t>
        </is>
      </c>
      <c r="E125" s="4" t="inlineStr">
        <is>
          <t>hepatobiliary</t>
        </is>
      </c>
      <c r="F125" s="4" t="inlineStr">
        <is>
          <t>III</t>
        </is>
      </c>
      <c r="G125" s="4" t="n">
        <v>173.9</v>
      </c>
      <c r="H125" s="4" t="n">
        <v>1</v>
      </c>
      <c r="I125" s="4" t="inlineStr">
        <is>
          <t>no</t>
        </is>
      </c>
      <c r="J125" s="4" t="inlineStr">
        <is>
          <t>no</t>
        </is>
      </c>
      <c r="K125" s="4" t="n">
        <v>29.36721116648441</v>
      </c>
      <c r="L125" s="4" t="n">
        <v>1.678365033323729</v>
      </c>
      <c r="M125" s="4" t="inlineStr">
        <is>
          <t>no</t>
        </is>
      </c>
      <c r="N125" s="4" t="inlineStr">
        <is>
          <t>no</t>
        </is>
      </c>
      <c r="O125" s="25" t="n">
        <v>0.4300094624721207</v>
      </c>
      <c r="P125" s="4" t="inlineStr">
        <is>
          <t>yes</t>
        </is>
      </c>
      <c r="Q125" s="4" t="inlineStr">
        <is>
          <t>no</t>
        </is>
      </c>
      <c r="R125" s="25" t="n">
        <v>0.5748714251183844</v>
      </c>
    </row>
    <row r="126">
      <c r="A126" s="4" t="inlineStr">
        <is>
          <t>SYN-20260820-0119</t>
        </is>
      </c>
      <c r="B126" s="4" t="inlineStr">
        <is>
          <t>2026-03-14</t>
        </is>
      </c>
      <c r="C126" s="4" t="n">
        <v>50</v>
      </c>
      <c r="D126" s="4" t="inlineStr">
        <is>
          <t>male</t>
        </is>
      </c>
      <c r="E126" s="4" t="inlineStr">
        <is>
          <t>breast</t>
        </is>
      </c>
      <c r="F126" s="4" t="inlineStr">
        <is>
          <t>III</t>
        </is>
      </c>
      <c r="G126" s="4" t="n">
        <v>174.9</v>
      </c>
      <c r="H126" s="4" t="inlineStr">
        <is>
          <t>unknown</t>
        </is>
      </c>
      <c r="I126" s="4" t="inlineStr">
        <is>
          <t>no</t>
        </is>
      </c>
      <c r="J126" s="4" t="inlineStr">
        <is>
          <t>no</t>
        </is>
      </c>
      <c r="K126" s="4" t="n">
        <v>27.00979829689497</v>
      </c>
      <c r="L126" s="4" t="n">
        <v>0.8531931744546025</v>
      </c>
      <c r="M126" s="4" t="inlineStr">
        <is>
          <t>no</t>
        </is>
      </c>
      <c r="N126" s="4" t="inlineStr">
        <is>
          <t>no</t>
        </is>
      </c>
      <c r="O126" s="25" t="n">
        <v>0.1995538895621876</v>
      </c>
      <c r="P126" s="4" t="inlineStr">
        <is>
          <t>yes</t>
        </is>
      </c>
      <c r="Q126" s="4" t="inlineStr">
        <is>
          <t>no</t>
        </is>
      </c>
      <c r="R126" s="25" t="n">
        <v>0.3053348211169654</v>
      </c>
    </row>
    <row r="127">
      <c r="A127" s="4" t="inlineStr">
        <is>
          <t>SYN-20260820-0120</t>
        </is>
      </c>
      <c r="B127" s="4" t="inlineStr">
        <is>
          <t>2026-03-15</t>
        </is>
      </c>
      <c r="C127" s="4" t="n">
        <v>53</v>
      </c>
      <c r="D127" s="4" t="inlineStr">
        <is>
          <t>female</t>
        </is>
      </c>
      <c r="E127" s="4" t="inlineStr">
        <is>
          <t>lung</t>
        </is>
      </c>
      <c r="F127" s="4" t="inlineStr">
        <is>
          <t>IV</t>
        </is>
      </c>
      <c r="G127" s="4" t="n">
        <v>174.2</v>
      </c>
      <c r="H127" s="4" t="n">
        <v>1</v>
      </c>
      <c r="I127" s="4" t="inlineStr">
        <is>
          <t>no</t>
        </is>
      </c>
      <c r="J127" s="4" t="inlineStr">
        <is>
          <t>unknown</t>
        </is>
      </c>
      <c r="K127" s="4" t="n">
        <v>25.46362508749198</v>
      </c>
      <c r="L127" s="4" t="n">
        <v>3.660528382809472</v>
      </c>
      <c r="M127" s="4" t="inlineStr">
        <is>
          <t>unknown</t>
        </is>
      </c>
      <c r="N127" s="4" t="inlineStr">
        <is>
          <t>unknown</t>
        </is>
      </c>
      <c r="O127" s="25" t="n">
        <v>0.5189580796629354</v>
      </c>
      <c r="P127" s="4" t="inlineStr">
        <is>
          <t>yes</t>
        </is>
      </c>
      <c r="Q127" s="4" t="inlineStr">
        <is>
          <t>no</t>
        </is>
      </c>
      <c r="R127" s="25" t="n">
        <v>0.6679836000823223</v>
      </c>
    </row>
  </sheetData>
  <mergeCells count="3">
    <mergeCell ref="A2:H2"/>
    <mergeCell ref="A4:H5"/>
    <mergeCell ref="A1:H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22"/>
  <sheetViews>
    <sheetView workbookViewId="0">
      <selection activeCell="A1" sqref="A1"/>
    </sheetView>
  </sheetViews>
  <sheetFormatPr baseColWidth="8" defaultRowHeight="15"/>
  <cols>
    <col width="28" customWidth="1" min="1" max="1"/>
    <col width="22" customWidth="1" min="2" max="2"/>
    <col width="78" customWidth="1" min="3" max="3"/>
  </cols>
  <sheetData>
    <row r="1" ht="32" customHeight="1">
      <c r="A1" s="1" t="inlineStr">
        <is>
          <t>Data dictionary</t>
        </is>
      </c>
    </row>
    <row r="2" ht="34" customHeight="1">
      <c r="A2" s="2" t="inlineStr">
        <is>
          <t>Units, values, and unknown behavior.</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row r="8">
      <c r="A8" s="4" t="inlineStr">
        <is>
          <t>Field</t>
        </is>
      </c>
      <c r="B8" s="4" t="inlineStr">
        <is>
          <t>Unit/type</t>
        </is>
      </c>
      <c r="C8" s="4" t="inlineStr">
        <is>
          <t>Definition</t>
        </is>
      </c>
    </row>
    <row r="9">
      <c r="A9" s="4" t="inlineStr">
        <is>
          <t>patient_id</t>
        </is>
      </c>
      <c r="B9" s="4" t="inlineStr">
        <is>
          <t>text</t>
        </is>
      </c>
      <c r="C9" s="4" t="inlineStr">
        <is>
          <t>SYN-* synthetic identifier</t>
        </is>
      </c>
    </row>
    <row r="10">
      <c r="A10" s="4" t="inlineStr">
        <is>
          <t>prediction_date</t>
        </is>
      </c>
      <c r="B10" s="4" t="inlineStr">
        <is>
          <t>date</t>
        </is>
      </c>
      <c r="C10" s="4" t="inlineStr">
        <is>
          <t>Explicit predictor cutoff</t>
        </is>
      </c>
    </row>
    <row r="11">
      <c r="A11" s="4" t="inlineStr">
        <is>
          <t>age</t>
        </is>
      </c>
      <c r="B11" s="4" t="inlineStr">
        <is>
          <t>years</t>
        </is>
      </c>
      <c r="C11" s="4" t="inlineStr">
        <is>
          <t>18–95</t>
        </is>
      </c>
    </row>
    <row r="12">
      <c r="A12" s="4" t="inlineStr">
        <is>
          <t>sex</t>
        </is>
      </c>
      <c r="B12" s="4" t="inlineStr">
        <is>
          <t>category</t>
        </is>
      </c>
      <c r="C12" s="4" t="inlineStr">
        <is>
          <t>female / male / unknown</t>
        </is>
      </c>
    </row>
    <row r="13">
      <c r="A13" s="4" t="inlineStr">
        <is>
          <t>cancer_type</t>
        </is>
      </c>
      <c r="B13" s="4" t="inlineStr">
        <is>
          <t>category</t>
        </is>
      </c>
      <c r="C13" s="4" t="inlineStr">
        <is>
          <t>Configured solid tumour categories</t>
        </is>
      </c>
    </row>
    <row r="14">
      <c r="A14" s="4" t="inlineStr">
        <is>
          <t>cancer_stage</t>
        </is>
      </c>
      <c r="B14" s="4" t="inlineStr">
        <is>
          <t>category</t>
        </is>
      </c>
      <c r="C14" s="4" t="inlineStr">
        <is>
          <t>I / II / III / IV / unknown</t>
        </is>
      </c>
    </row>
    <row r="15">
      <c r="A15" s="4" t="inlineStr">
        <is>
          <t>height_cm</t>
        </is>
      </c>
      <c r="B15" s="4" t="inlineStr">
        <is>
          <t>cm</t>
        </is>
      </c>
      <c r="C15" s="4" t="inlineStr">
        <is>
          <t>140–200 or blank/unknown</t>
        </is>
      </c>
    </row>
    <row r="16">
      <c r="A16" s="4" t="inlineStr">
        <is>
          <t>weights</t>
        </is>
      </c>
      <c r="B16" s="4" t="inlineStr">
        <is>
          <t>kg + date</t>
        </is>
      </c>
      <c r="C16" s="4" t="inlineStr">
        <is>
          <t>25–160 kg; multiple dated rows</t>
        </is>
      </c>
    </row>
    <row r="17">
      <c r="A17" s="4" t="inlineStr">
        <is>
          <t>ecog</t>
        </is>
      </c>
      <c r="B17" s="4" t="inlineStr">
        <is>
          <t>category</t>
        </is>
      </c>
      <c r="C17" s="4" t="inlineStr">
        <is>
          <t>0–4 / unknown</t>
        </is>
      </c>
    </row>
    <row r="18">
      <c r="A18" s="4" t="inlineStr">
        <is>
          <t>reduced_appetite</t>
        </is>
      </c>
      <c r="B18" s="4" t="inlineStr">
        <is>
          <t>tri-state</t>
        </is>
      </c>
      <c r="C18" s="4" t="inlineStr">
        <is>
          <t>yes / no / unknown</t>
        </is>
      </c>
    </row>
    <row r="19">
      <c r="A19" s="4" t="inlineStr">
        <is>
          <t>sarcopenia</t>
        </is>
      </c>
      <c r="B19" s="4" t="inlineStr">
        <is>
          <t>tri-state</t>
        </is>
      </c>
      <c r="C19" s="4" t="inlineStr">
        <is>
          <t>documented yes / no / unknown; used in the &gt;2% Fearon branch and never inferred</t>
        </is>
      </c>
    </row>
    <row r="20">
      <c r="A20" s="4" t="inlineStr">
        <is>
          <t>outcome_3m</t>
        </is>
      </c>
      <c r="B20" s="4" t="inlineStr">
        <is>
          <t>tri-state labels</t>
        </is>
      </c>
      <c r="C20" s="4" t="inlineStr">
        <is>
          <t>Inclusive 3-calendar-month horizon</t>
        </is>
      </c>
    </row>
    <row r="21">
      <c r="A21" s="5" t="inlineStr">
        <is>
          <t>outcome_6m</t>
        </is>
      </c>
      <c r="B21" s="5" t="inlineStr">
        <is>
          <t>tri-state labels</t>
        </is>
      </c>
      <c r="C21" s="5" t="inlineStr">
        <is>
          <t>Inclusive 6-calendar-month horizon</t>
        </is>
      </c>
    </row>
    <row r="22">
      <c r="A22" s="4" t="inlineStr">
        <is>
          <t>risk outputs</t>
        </is>
      </c>
      <c r="B22" s="4" t="inlineStr">
        <is>
          <t>0–100% display</t>
        </is>
      </c>
      <c r="C22" s="4" t="inlineStr">
        <is>
          <t>Simulation only; not calibrated</t>
        </is>
      </c>
    </row>
  </sheetData>
  <mergeCells count="3">
    <mergeCell ref="A2:H2"/>
    <mergeCell ref="A4:H5"/>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14"/>
  <sheetViews>
    <sheetView workbookViewId="0">
      <pane ySplit="7" topLeftCell="A8" activePane="bottomLeft" state="frozen"/>
      <selection pane="bottomLeft" activeCell="A1" sqref="A1"/>
    </sheetView>
  </sheetViews>
  <sheetFormatPr baseColWidth="8" defaultRowHeight="15"/>
  <cols>
    <col width="14" customWidth="1" min="1" max="1"/>
    <col width="62" customWidth="1" min="2" max="2"/>
    <col width="24" customWidth="1" min="3" max="3"/>
    <col width="22" customWidth="1" min="4" max="4"/>
    <col width="42" customWidth="1" min="5" max="5"/>
    <col width="52" customWidth="1" min="6" max="6"/>
    <col width="18" customWidth="1" min="7" max="7"/>
  </cols>
  <sheetData>
    <row r="1" ht="32" customHeight="1">
      <c r="A1" s="1" t="inlineStr">
        <is>
          <t>Clinical review decisions</t>
        </is>
      </c>
    </row>
    <row r="2" ht="34" customHeight="1">
      <c r="A2" s="2" t="inlineStr">
        <is>
          <t>No approval has been received. Record decisions explicitly; blank is not approval.</t>
        </is>
      </c>
    </row>
    <row r="3"/>
    <row r="4" ht="34" customHeight="1">
      <c r="A4" s="3" t="inlineStr">
        <is>
          <t>NOT FOR CLINICAL USE. All patients and outputs are synthetic. Risk relationships are simulation assumptions, not clinically validated effects. Do not use for diagnosis, prognosis, treatment, patient care, or medical decisions.</t>
        </is>
      </c>
    </row>
    <row r="5"/>
    <row r="6"/>
    <row r="7">
      <c r="A7" s="5" t="inlineStr">
        <is>
          <t>ID</t>
        </is>
      </c>
      <c r="B7" s="5" t="inlineStr">
        <is>
          <t>Question</t>
        </is>
      </c>
      <c r="C7" s="5" t="inlineStr">
        <is>
          <t>Owner</t>
        </is>
      </c>
      <c r="D7" s="5" t="inlineStr">
        <is>
          <t>Status</t>
        </is>
      </c>
      <c r="E7" s="5" t="inlineStr">
        <is>
          <t>Decision</t>
        </is>
      </c>
      <c r="F7" s="5" t="inlineStr">
        <is>
          <t>Rationale</t>
        </is>
      </c>
      <c r="G7" s="5" t="inlineStr">
        <is>
          <t>Effective date</t>
        </is>
      </c>
    </row>
    <row r="8">
      <c r="A8" s="4" t="inlineStr">
        <is>
          <t>CLIN-001</t>
        </is>
      </c>
      <c r="B8" s="4" t="inlineStr">
        <is>
          <t>Confirm/revise predictor ranges and distributions</t>
        </is>
      </c>
      <c r="C8" s="4" t="inlineStr">
        <is>
          <t>Clinical review</t>
        </is>
      </c>
      <c r="D8" s="4" t="inlineStr">
        <is>
          <t>pending</t>
        </is>
      </c>
    </row>
    <row r="9">
      <c r="A9" s="4" t="inlineStr">
        <is>
          <t>CLIN-002</t>
        </is>
      </c>
      <c r="B9" s="4" t="inlineStr">
        <is>
          <t>Confirm stage/ECOG/appetite simulation relationships</t>
        </is>
      </c>
      <c r="C9" s="4" t="inlineStr">
        <is>
          <t>Clinical review</t>
        </is>
      </c>
      <c r="D9" s="4" t="inlineStr">
        <is>
          <t>pending</t>
        </is>
      </c>
    </row>
    <row r="10">
      <c r="A10" s="4" t="inlineStr">
        <is>
          <t>CLIN-003</t>
        </is>
      </c>
      <c r="B10" s="4" t="inlineStr">
        <is>
          <t>Approve/reject/revise provisional pre-cachexia rule</t>
        </is>
      </c>
      <c r="C10" s="4" t="inlineStr">
        <is>
          <t>Clinical review</t>
        </is>
      </c>
      <c r="D10" s="4" t="inlineStr">
        <is>
          <t>pending</t>
        </is>
      </c>
    </row>
    <row r="11">
      <c r="A11" s="4" t="inlineStr">
        <is>
          <t>CLIN-004</t>
        </is>
      </c>
      <c r="B11" s="4" t="inlineStr">
        <is>
          <t>Confirm Fearon implementation and unknown behavior</t>
        </is>
      </c>
      <c r="C11" s="4" t="inlineStr">
        <is>
          <t>Clinical review</t>
        </is>
      </c>
      <c r="D11" s="4" t="inlineStr">
        <is>
          <t>pending</t>
        </is>
      </c>
    </row>
    <row r="12">
      <c r="A12" s="4" t="inlineStr">
        <is>
          <t>CLIN-005</t>
        </is>
      </c>
      <c r="B12" s="4" t="inlineStr">
        <is>
          <t>Confirm outcome selection and inclusive boundaries</t>
        </is>
      </c>
      <c r="C12" s="4" t="inlineStr">
        <is>
          <t>Clinical review</t>
        </is>
      </c>
      <c r="D12" s="4" t="inlineStr">
        <is>
          <t>pending</t>
        </is>
      </c>
    </row>
    <row r="13">
      <c r="A13" s="4" t="inlineStr">
        <is>
          <t>CLIN-006</t>
        </is>
      </c>
      <c r="B13" s="4" t="inlineStr">
        <is>
          <t>Confirm sarcopenia representation</t>
        </is>
      </c>
      <c r="C13" s="4" t="inlineStr">
        <is>
          <t>Clinical review</t>
        </is>
      </c>
      <c r="D13" s="4" t="inlineStr">
        <is>
          <t>pending</t>
        </is>
      </c>
    </row>
    <row r="14">
      <c r="A14" s="4" t="inlineStr">
        <is>
          <t>UX-001</t>
        </is>
      </c>
      <c r="B14" s="4" t="inlineStr">
        <is>
          <t>Identify clinically misleading wording or presentation</t>
        </is>
      </c>
      <c r="C14" s="4" t="inlineStr">
        <is>
          <t>Clinical review</t>
        </is>
      </c>
      <c r="D14" s="4" t="inlineStr">
        <is>
          <t>pending</t>
        </is>
      </c>
    </row>
  </sheetData>
  <mergeCells count="3">
    <mergeCell ref="A2:H2"/>
    <mergeCell ref="A4:H5"/>
    <mergeCell ref="A1:H1"/>
  </mergeCells>
  <dataValidations count="1">
    <dataValidation sqref="D8:D14" showDropDown="0" showInputMessage="0" showErrorMessage="0" allowBlank="0" type="list">
      <formula1>"pending,approved,rejected,revision_requested"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2026-08-20T13:00:53Z</dcterms:created>
  <dcterms:modified xmlns:dcterms="http://purl.org/dc/terms/" xmlns:xsi="http://www.w3.org/2001/XMLSchema-instance" xsi:type="dcterms:W3CDTF">2026-08-20T13:00:53Z</dcterms:modified>
</cp:coreProperties>
</file>